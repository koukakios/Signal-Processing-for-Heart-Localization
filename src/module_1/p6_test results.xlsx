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uben\Documents\Studeren\Studie\2025-2026\Q2\EE2L1\Project-Heart-EE2L1\src\module_1\"/>
    </mc:Choice>
  </mc:AlternateContent>
  <xr:revisionPtr revIDLastSave="0" documentId="13_ncr:1_{B63036E2-4019-4EB5-8A9D-4B776D08278A}" xr6:coauthVersionLast="47" xr6:coauthVersionMax="47" xr10:uidLastSave="{00000000-0000-0000-0000-000000000000}"/>
  <bookViews>
    <workbookView xWindow="-108" yWindow="-108" windowWidth="23256" windowHeight="13896" activeTab="1" xr2:uid="{27495DE4-06DE-42D5-9603-5AE5B78F0026}"/>
  </bookViews>
  <sheets>
    <sheet name="Old config" sheetId="1" r:id="rId1"/>
    <sheet name="With new confi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2" l="1"/>
  <c r="D27" i="2" s="1"/>
  <c r="C26" i="2"/>
  <c r="C21" i="2"/>
  <c r="C27" i="2"/>
  <c r="D41" i="2"/>
  <c r="E41" i="2"/>
  <c r="L41" i="2"/>
  <c r="M41" i="2"/>
  <c r="N41" i="2"/>
  <c r="O41" i="2"/>
  <c r="P41" i="2"/>
  <c r="Q41" i="2"/>
  <c r="R41" i="2"/>
  <c r="S41" i="2"/>
  <c r="T41" i="2"/>
  <c r="C41" i="2"/>
  <c r="D15" i="2"/>
  <c r="E15" i="2"/>
  <c r="L15" i="2"/>
  <c r="M15" i="2"/>
  <c r="N15" i="2"/>
  <c r="O15" i="2"/>
  <c r="P15" i="2"/>
  <c r="Q15" i="2"/>
  <c r="R15" i="2"/>
  <c r="S15" i="2"/>
  <c r="T15" i="2"/>
  <c r="C15" i="2"/>
  <c r="K40" i="2"/>
  <c r="J40" i="2"/>
  <c r="I40" i="2"/>
  <c r="H40" i="2"/>
  <c r="G40" i="2"/>
  <c r="F40" i="2"/>
  <c r="K39" i="2"/>
  <c r="J39" i="2"/>
  <c r="I39" i="2"/>
  <c r="H39" i="2"/>
  <c r="G39" i="2"/>
  <c r="F39" i="2"/>
  <c r="K38" i="2"/>
  <c r="J38" i="2"/>
  <c r="I38" i="2"/>
  <c r="H38" i="2"/>
  <c r="G38" i="2"/>
  <c r="F38" i="2"/>
  <c r="K37" i="2"/>
  <c r="J37" i="2"/>
  <c r="I37" i="2"/>
  <c r="H37" i="2"/>
  <c r="G37" i="2"/>
  <c r="F37" i="2"/>
  <c r="K36" i="2"/>
  <c r="J36" i="2"/>
  <c r="I36" i="2"/>
  <c r="H36" i="2"/>
  <c r="G36" i="2"/>
  <c r="F36" i="2"/>
  <c r="K35" i="2"/>
  <c r="J35" i="2"/>
  <c r="I35" i="2"/>
  <c r="H35" i="2"/>
  <c r="G35" i="2"/>
  <c r="F35" i="2"/>
  <c r="K34" i="2"/>
  <c r="J34" i="2"/>
  <c r="I34" i="2"/>
  <c r="H34" i="2"/>
  <c r="G34" i="2"/>
  <c r="F34" i="2"/>
  <c r="K33" i="2"/>
  <c r="J33" i="2"/>
  <c r="I33" i="2"/>
  <c r="H33" i="2"/>
  <c r="G33" i="2"/>
  <c r="F33" i="2"/>
  <c r="K32" i="2"/>
  <c r="J32" i="2"/>
  <c r="I32" i="2"/>
  <c r="H32" i="2"/>
  <c r="G32" i="2"/>
  <c r="F32" i="2"/>
  <c r="K31" i="2"/>
  <c r="J31" i="2"/>
  <c r="I31" i="2"/>
  <c r="H31" i="2"/>
  <c r="G31" i="2"/>
  <c r="F31" i="2"/>
  <c r="K30" i="2"/>
  <c r="J30" i="2"/>
  <c r="J41" i="2" s="1"/>
  <c r="I30" i="2"/>
  <c r="I41" i="2" s="1"/>
  <c r="H30" i="2"/>
  <c r="H41" i="2" s="1"/>
  <c r="G30" i="2"/>
  <c r="G41" i="2" s="1"/>
  <c r="D47" i="2" s="1"/>
  <c r="D52" i="2" s="1"/>
  <c r="F30" i="2"/>
  <c r="F41" i="2" s="1"/>
  <c r="C47" i="2" s="1"/>
  <c r="C52" i="2" s="1"/>
  <c r="K29" i="2"/>
  <c r="K41" i="2" s="1"/>
  <c r="J29" i="2"/>
  <c r="I29" i="2"/>
  <c r="H29" i="2"/>
  <c r="G29" i="2"/>
  <c r="F29" i="2"/>
  <c r="K14" i="2"/>
  <c r="J14" i="2"/>
  <c r="I14" i="2"/>
  <c r="H14" i="2"/>
  <c r="G14" i="2"/>
  <c r="F14" i="2"/>
  <c r="K13" i="2"/>
  <c r="J13" i="2"/>
  <c r="I13" i="2"/>
  <c r="H13" i="2"/>
  <c r="G13" i="2"/>
  <c r="F13" i="2"/>
  <c r="K12" i="2"/>
  <c r="J12" i="2"/>
  <c r="I12" i="2"/>
  <c r="H12" i="2"/>
  <c r="G12" i="2"/>
  <c r="F12" i="2"/>
  <c r="K11" i="2"/>
  <c r="J11" i="2"/>
  <c r="I11" i="2"/>
  <c r="H11" i="2"/>
  <c r="G11" i="2"/>
  <c r="F11" i="2"/>
  <c r="K10" i="2"/>
  <c r="J10" i="2"/>
  <c r="I10" i="2"/>
  <c r="H10" i="2"/>
  <c r="G10" i="2"/>
  <c r="F10" i="2"/>
  <c r="K9" i="2"/>
  <c r="J9" i="2"/>
  <c r="I9" i="2"/>
  <c r="H9" i="2"/>
  <c r="G9" i="2"/>
  <c r="F9" i="2"/>
  <c r="K8" i="2"/>
  <c r="J8" i="2"/>
  <c r="I8" i="2"/>
  <c r="H8" i="2"/>
  <c r="G8" i="2"/>
  <c r="F8" i="2"/>
  <c r="K7" i="2"/>
  <c r="J7" i="2"/>
  <c r="I7" i="2"/>
  <c r="H7" i="2"/>
  <c r="G7" i="2"/>
  <c r="F7" i="2"/>
  <c r="K6" i="2"/>
  <c r="J6" i="2"/>
  <c r="I6" i="2"/>
  <c r="H6" i="2"/>
  <c r="G6" i="2"/>
  <c r="F6" i="2"/>
  <c r="K5" i="2"/>
  <c r="J5" i="2"/>
  <c r="I5" i="2"/>
  <c r="H5" i="2"/>
  <c r="G5" i="2"/>
  <c r="F5" i="2"/>
  <c r="K4" i="2"/>
  <c r="J4" i="2"/>
  <c r="J15" i="2" s="1"/>
  <c r="I4" i="2"/>
  <c r="I15" i="2" s="1"/>
  <c r="H4" i="2"/>
  <c r="H15" i="2" s="1"/>
  <c r="G4" i="2"/>
  <c r="G15" i="2" s="1"/>
  <c r="F4" i="2"/>
  <c r="F15" i="2" s="1"/>
  <c r="K3" i="2"/>
  <c r="K15" i="2" s="1"/>
  <c r="J3" i="2"/>
  <c r="I3" i="2"/>
  <c r="H3" i="2"/>
  <c r="G3" i="2"/>
  <c r="F3" i="2"/>
  <c r="F4" i="1"/>
  <c r="G4" i="1"/>
  <c r="H4" i="1"/>
  <c r="I4" i="1"/>
  <c r="J4" i="1"/>
  <c r="K4" i="1"/>
  <c r="F5" i="1"/>
  <c r="G5" i="1"/>
  <c r="H5" i="1"/>
  <c r="I5" i="1"/>
  <c r="J5" i="1"/>
  <c r="K5" i="1"/>
  <c r="F6" i="1"/>
  <c r="G6" i="1"/>
  <c r="H6" i="1"/>
  <c r="I6" i="1"/>
  <c r="J6" i="1"/>
  <c r="K6" i="1"/>
  <c r="F7" i="1"/>
  <c r="G7" i="1"/>
  <c r="H7" i="1"/>
  <c r="I7" i="1"/>
  <c r="J7" i="1"/>
  <c r="K7" i="1"/>
  <c r="F8" i="1"/>
  <c r="G8" i="1"/>
  <c r="H8" i="1"/>
  <c r="I8" i="1"/>
  <c r="J8" i="1"/>
  <c r="K8" i="1"/>
  <c r="F9" i="1"/>
  <c r="G9" i="1"/>
  <c r="H9" i="1"/>
  <c r="I9" i="1"/>
  <c r="J9" i="1"/>
  <c r="K9" i="1"/>
  <c r="F10" i="1"/>
  <c r="G10" i="1"/>
  <c r="H10" i="1"/>
  <c r="I10" i="1"/>
  <c r="J10" i="1"/>
  <c r="K10" i="1"/>
  <c r="F11" i="1"/>
  <c r="G11" i="1"/>
  <c r="H11" i="1"/>
  <c r="I11" i="1"/>
  <c r="J11" i="1"/>
  <c r="K11" i="1"/>
  <c r="F12" i="1"/>
  <c r="G12" i="1"/>
  <c r="H12" i="1"/>
  <c r="I12" i="1"/>
  <c r="J12" i="1"/>
  <c r="K12" i="1"/>
  <c r="F13" i="1"/>
  <c r="G13" i="1"/>
  <c r="H13" i="1"/>
  <c r="I13" i="1"/>
  <c r="J13" i="1"/>
  <c r="K13" i="1"/>
  <c r="F14" i="1"/>
  <c r="G14" i="1"/>
  <c r="H14" i="1"/>
  <c r="I14" i="1"/>
  <c r="J14" i="1"/>
  <c r="K14" i="1"/>
  <c r="F15" i="1"/>
  <c r="G15" i="1"/>
  <c r="H15" i="1"/>
  <c r="I15" i="1"/>
  <c r="J15" i="1"/>
  <c r="K15" i="1"/>
  <c r="F16" i="1"/>
  <c r="G16" i="1"/>
  <c r="H16" i="1"/>
  <c r="I16" i="1"/>
  <c r="J16" i="1"/>
  <c r="K16" i="1"/>
  <c r="F17" i="1"/>
  <c r="G17" i="1"/>
  <c r="H17" i="1"/>
  <c r="I17" i="1"/>
  <c r="J17" i="1"/>
  <c r="K17" i="1"/>
  <c r="F18" i="1"/>
  <c r="G18" i="1"/>
  <c r="H18" i="1"/>
  <c r="I18" i="1"/>
  <c r="J18" i="1"/>
  <c r="K18" i="1"/>
  <c r="F19" i="1"/>
  <c r="G19" i="1"/>
  <c r="H19" i="1"/>
  <c r="I19" i="1"/>
  <c r="J19" i="1"/>
  <c r="K19" i="1"/>
  <c r="F20" i="1"/>
  <c r="G20" i="1"/>
  <c r="H20" i="1"/>
  <c r="I20" i="1"/>
  <c r="J20" i="1"/>
  <c r="K20" i="1"/>
  <c r="F21" i="1"/>
  <c r="G21" i="1"/>
  <c r="H21" i="1"/>
  <c r="I21" i="1"/>
  <c r="J21" i="1"/>
  <c r="K21" i="1"/>
  <c r="F22" i="1"/>
  <c r="G22" i="1"/>
  <c r="H22" i="1"/>
  <c r="I22" i="1"/>
  <c r="J22" i="1"/>
  <c r="K22" i="1"/>
  <c r="F23" i="1"/>
  <c r="G23" i="1"/>
  <c r="H23" i="1"/>
  <c r="I23" i="1"/>
  <c r="J23" i="1"/>
  <c r="K23" i="1"/>
  <c r="F24" i="1"/>
  <c r="G24" i="1"/>
  <c r="H24" i="1"/>
  <c r="I24" i="1"/>
  <c r="J24" i="1"/>
  <c r="K24" i="1"/>
  <c r="F25" i="1"/>
  <c r="G25" i="1"/>
  <c r="H25" i="1"/>
  <c r="I25" i="1"/>
  <c r="J25" i="1"/>
  <c r="K25" i="1"/>
  <c r="F26" i="1"/>
  <c r="G26" i="1"/>
  <c r="H26" i="1"/>
  <c r="I26" i="1"/>
  <c r="J26" i="1"/>
  <c r="K26" i="1"/>
  <c r="K3" i="1"/>
  <c r="J3" i="1"/>
  <c r="I3" i="1"/>
  <c r="H3" i="1"/>
  <c r="G3" i="1"/>
  <c r="F3" i="1"/>
  <c r="D26" i="2" l="1"/>
  <c r="C53" i="2"/>
  <c r="D53" i="2"/>
</calcChain>
</file>

<file path=xl/sharedStrings.xml><?xml version="1.0" encoding="utf-8"?>
<sst xmlns="http://schemas.openxmlformats.org/spreadsheetml/2006/main" count="175" uniqueCount="57">
  <si>
    <t>Folder</t>
  </si>
  <si>
    <t>File</t>
  </si>
  <si>
    <t>piezo_2_realHeart</t>
  </si>
  <si>
    <t>piezo_4_realHeart</t>
  </si>
  <si>
    <t>stethoscope_2_realHeart_</t>
  </si>
  <si>
    <t>stethoscope_5_realHeart_</t>
  </si>
  <si>
    <t>recording_2025-07-10_15-15-16_channel_1.wav</t>
  </si>
  <si>
    <t>recording_2025-07-10_15-15-16_channel_2.wav</t>
  </si>
  <si>
    <t>recording_2025-07-10_15-15-16_channel_3.wav</t>
  </si>
  <si>
    <t>recording_2025-07-10_15-15-16_channel_4.wav</t>
  </si>
  <si>
    <t>recording_2025-07-10_15-15-16_channel_5.wav</t>
  </si>
  <si>
    <t>recording_2025-07-10_15-15-17_channel_6.wav</t>
  </si>
  <si>
    <t>recording_2025-07-10_15-19-01_channel_1.wav</t>
  </si>
  <si>
    <t>recording_2025-07-10_15-19-01_channel_2.wav</t>
  </si>
  <si>
    <t>recording_2025-07-10_15-19-01_channel_3.wav</t>
  </si>
  <si>
    <t>recording_2025-07-10_15-19-01_channel_4.wav</t>
  </si>
  <si>
    <t>recording_2025-07-10_15-19-01_channel_5.wav</t>
  </si>
  <si>
    <t>recording_2025-07-10_15-19-01_channel_6.wav</t>
  </si>
  <si>
    <t>recording_2025-07-10_14-34-04_channel_1.wav</t>
  </si>
  <si>
    <t>recording_2025-07-10_14-34-04_channel_2.wav</t>
  </si>
  <si>
    <t>recording_2025-07-10_14-34-05_channel_3.wav</t>
  </si>
  <si>
    <t>recording_2025-07-10_14-34-05_channel_4.wav</t>
  </si>
  <si>
    <t>recording_2025-07-10_14-34-05_channel_5.wav</t>
  </si>
  <si>
    <t>recording_2025-07-10_14-34-05_channel_6.wav</t>
  </si>
  <si>
    <t>recording_2025-07-10_14-40-12_channel_1.wav</t>
  </si>
  <si>
    <t>recording_2025-07-10_14-40-13_channel_2.wav</t>
  </si>
  <si>
    <t>recording_2025-07-10_14-40-13_channel_3.wav</t>
  </si>
  <si>
    <t>recording_2025-07-10_14-40-13_channel_4.wav</t>
  </si>
  <si>
    <t>recording_2025-07-10_14-40-13_channel_5.wav</t>
  </si>
  <si>
    <t>recording_2025-07-10_14-40-13_channel_6.wav</t>
  </si>
  <si>
    <t>S1_count</t>
  </si>
  <si>
    <t>S2_count</t>
  </si>
  <si>
    <t>Uncertain</t>
  </si>
  <si>
    <t xml:space="preserve">S1 </t>
  </si>
  <si>
    <t xml:space="preserve">S2 </t>
  </si>
  <si>
    <t>False positive</t>
  </si>
  <si>
    <t>false negative</t>
  </si>
  <si>
    <t>S1</t>
  </si>
  <si>
    <t>S2</t>
  </si>
  <si>
    <t>Uncertain treated as missed</t>
  </si>
  <si>
    <t>hallucinated</t>
  </si>
  <si>
    <t>Uncertain at</t>
  </si>
  <si>
    <t>Nothing</t>
  </si>
  <si>
    <t>said peak but nothing</t>
  </si>
  <si>
    <t>said wrong peak</t>
  </si>
  <si>
    <t>S1 (said S2)</t>
  </si>
  <si>
    <t>S2(said S1)</t>
  </si>
  <si>
    <t>None</t>
  </si>
  <si>
    <t>Marked wrong</t>
  </si>
  <si>
    <t>S1 (was S2)</t>
  </si>
  <si>
    <t>S2 (was S1)</t>
  </si>
  <si>
    <t>Errors</t>
  </si>
  <si>
    <t>Type I</t>
  </si>
  <si>
    <t>Type II</t>
  </si>
  <si>
    <t>Total</t>
  </si>
  <si>
    <t>Not marked as correct peak</t>
  </si>
  <si>
    <t>Marked as correct peak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</si>
</sst>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3F3F76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1" applyNumberFormat="0" applyAlignment="0" applyProtection="0"/>
    <xf numFmtId="0" fontId="3" fillId="4" borderId="1" applyNumberFormat="0" applyAlignment="0" applyProtection="0"/>
    <xf numFmtId="9" fontId="4" fillId="0" borderId="0" applyFont="0" applyFill="0" applyBorder="0" applyAlignment="0" applyProtection="0"/>
  </cellStyleXfs>
  <cellXfs count="18">
    <xf numFmtId="0" fontId="0" fillId="0" borderId="0" xfId="0"/>
    <xf numFmtId="0" fontId="2" fillId="3" borderId="1" xfId="2"/>
    <xf numFmtId="0" fontId="3" fillId="4" borderId="1" xfId="3"/>
    <xf numFmtId="0" fontId="1" fillId="2" borderId="0" xfId="1"/>
    <xf numFmtId="0" fontId="1" fillId="2" borderId="1" xfId="1" applyBorder="1"/>
    <xf numFmtId="0" fontId="2" fillId="3" borderId="1" xfId="2" applyAlignment="1">
      <alignment horizontal="center"/>
    </xf>
    <xf numFmtId="0" fontId="3" fillId="4" borderId="1" xfId="3" applyAlignment="1">
      <alignment horizontal="center"/>
    </xf>
    <xf numFmtId="0" fontId="5" fillId="0" borderId="0" xfId="0" applyFont="1" applyBorder="1"/>
    <xf numFmtId="0" fontId="3" fillId="4" borderId="3" xfId="3" applyBorder="1"/>
    <xf numFmtId="0" fontId="1" fillId="2" borderId="2" xfId="1" applyBorder="1"/>
    <xf numFmtId="0" fontId="1" fillId="2" borderId="4" xfId="1" applyBorder="1"/>
    <xf numFmtId="0" fontId="6" fillId="3" borderId="3" xfId="2" applyFont="1" applyBorder="1"/>
    <xf numFmtId="0" fontId="0" fillId="0" borderId="2" xfId="0" applyBorder="1"/>
    <xf numFmtId="0" fontId="2" fillId="3" borderId="4" xfId="2" applyBorder="1"/>
    <xf numFmtId="0" fontId="3" fillId="4" borderId="4" xfId="3" applyBorder="1"/>
    <xf numFmtId="0" fontId="3" fillId="4" borderId="3" xfId="3" applyFont="1" applyBorder="1"/>
    <xf numFmtId="10" fontId="2" fillId="3" borderId="1" xfId="4" applyNumberFormat="1" applyFont="1" applyFill="1" applyBorder="1"/>
    <xf numFmtId="0" fontId="2" fillId="3" borderId="5" xfId="2" applyBorder="1" applyAlignment="1"/>
  </cellXfs>
  <cellStyles count="5">
    <cellStyle name="Berekening" xfId="3" builtinId="22"/>
    <cellStyle name="Invoer" xfId="2" builtinId="20"/>
    <cellStyle name="Ongeldig" xfId="1" builtinId="27"/>
    <cellStyle name="Procent" xfId="4" builtinId="5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D47B7-F6EF-4B14-A867-A755A267B47C}">
  <dimension ref="A1:U28"/>
  <sheetViews>
    <sheetView zoomScale="145" zoomScaleNormal="145" workbookViewId="0">
      <pane xSplit="2" ySplit="2" topLeftCell="C3" activePane="bottomRight" state="frozen"/>
      <selection pane="topRight" activeCell="C1" sqref="C1"/>
      <selection pane="bottomLeft" activeCell="A2" sqref="A2"/>
      <selection pane="bottomRight" activeCell="U7" sqref="U7"/>
    </sheetView>
  </sheetViews>
  <sheetFormatPr defaultRowHeight="14.4" x14ac:dyDescent="0.3"/>
  <cols>
    <col min="1" max="1" width="23.88671875" bestFit="1" customWidth="1"/>
    <col min="2" max="2" width="43" bestFit="1" customWidth="1"/>
    <col min="3" max="5" width="9.109375" style="1"/>
    <col min="6" max="11" width="9.109375" style="2"/>
    <col min="12" max="17" width="9.109375" style="1"/>
    <col min="18" max="18" width="11.109375" style="1" bestFit="1" customWidth="1"/>
    <col min="19" max="19" width="10.6640625" style="1" bestFit="1" customWidth="1"/>
    <col min="20" max="20" width="9.109375" style="1"/>
  </cols>
  <sheetData>
    <row r="1" spans="1:21" x14ac:dyDescent="0.3">
      <c r="F1" s="6" t="s">
        <v>35</v>
      </c>
      <c r="G1" s="6"/>
      <c r="H1" s="6" t="s">
        <v>36</v>
      </c>
      <c r="I1" s="6"/>
      <c r="J1" s="2" t="s">
        <v>48</v>
      </c>
      <c r="L1" s="5" t="s">
        <v>41</v>
      </c>
      <c r="M1" s="5"/>
      <c r="N1" s="5" t="s">
        <v>42</v>
      </c>
      <c r="O1" s="5"/>
      <c r="P1" s="5" t="s">
        <v>43</v>
      </c>
      <c r="Q1" s="5"/>
      <c r="R1" s="5" t="s">
        <v>44</v>
      </c>
      <c r="S1" s="5"/>
      <c r="T1" s="1" t="s">
        <v>41</v>
      </c>
    </row>
    <row r="2" spans="1:21" x14ac:dyDescent="0.3">
      <c r="A2" t="s">
        <v>0</v>
      </c>
      <c r="B2" t="s">
        <v>1</v>
      </c>
      <c r="C2" s="1" t="s">
        <v>30</v>
      </c>
      <c r="D2" s="1" t="s">
        <v>31</v>
      </c>
      <c r="E2" s="1" t="s">
        <v>32</v>
      </c>
      <c r="F2" s="2" t="s">
        <v>33</v>
      </c>
      <c r="G2" s="2" t="s">
        <v>34</v>
      </c>
      <c r="H2" s="2" t="s">
        <v>37</v>
      </c>
      <c r="I2" s="2" t="s">
        <v>38</v>
      </c>
      <c r="J2" s="2" t="s">
        <v>49</v>
      </c>
      <c r="K2" s="2" t="s">
        <v>50</v>
      </c>
      <c r="L2" s="1" t="s">
        <v>37</v>
      </c>
      <c r="M2" s="1" t="s">
        <v>38</v>
      </c>
      <c r="N2" s="1" t="s">
        <v>37</v>
      </c>
      <c r="O2" s="1" t="s">
        <v>38</v>
      </c>
      <c r="P2" s="1" t="s">
        <v>37</v>
      </c>
      <c r="Q2" s="1" t="s">
        <v>38</v>
      </c>
      <c r="R2" s="1" t="s">
        <v>45</v>
      </c>
      <c r="S2" s="1" t="s">
        <v>46</v>
      </c>
      <c r="T2" s="1" t="s">
        <v>47</v>
      </c>
    </row>
    <row r="3" spans="1:21" x14ac:dyDescent="0.3">
      <c r="A3" t="s">
        <v>2</v>
      </c>
      <c r="B3" t="s">
        <v>6</v>
      </c>
      <c r="C3" s="1">
        <v>109</v>
      </c>
      <c r="D3" s="1">
        <v>98</v>
      </c>
      <c r="E3" s="1">
        <v>22</v>
      </c>
      <c r="F3" s="2">
        <f>P3</f>
        <v>0</v>
      </c>
      <c r="G3" s="2">
        <f>Q3</f>
        <v>0</v>
      </c>
      <c r="H3" s="2">
        <f>L3+N3</f>
        <v>10</v>
      </c>
      <c r="I3" s="2">
        <f>M3+O3</f>
        <v>7</v>
      </c>
      <c r="J3" s="2">
        <f>S3</f>
        <v>0</v>
      </c>
      <c r="K3" s="2">
        <f>R3</f>
        <v>0</v>
      </c>
      <c r="L3" s="1">
        <v>9</v>
      </c>
      <c r="M3" s="1">
        <v>7</v>
      </c>
      <c r="N3" s="1">
        <v>1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4</v>
      </c>
    </row>
    <row r="4" spans="1:21" x14ac:dyDescent="0.3">
      <c r="A4" t="s">
        <v>2</v>
      </c>
      <c r="B4" t="s">
        <v>7</v>
      </c>
      <c r="C4" s="1">
        <v>235</v>
      </c>
      <c r="D4" s="1">
        <v>205</v>
      </c>
      <c r="E4" s="1">
        <v>14</v>
      </c>
      <c r="F4" s="2">
        <f t="shared" ref="F4:F26" si="0">P4</f>
        <v>0</v>
      </c>
      <c r="G4" s="2">
        <f t="shared" ref="G4:G26" si="1">Q4</f>
        <v>0</v>
      </c>
      <c r="H4" s="2">
        <f t="shared" ref="H4:H26" si="2">L4+N4</f>
        <v>0</v>
      </c>
      <c r="I4" s="2">
        <f t="shared" ref="I4:I26" si="3">M4+O4</f>
        <v>0</v>
      </c>
      <c r="J4" s="2">
        <f t="shared" ref="J4:J26" si="4">S4</f>
        <v>0</v>
      </c>
      <c r="K4" s="2">
        <f t="shared" ref="K4:K26" si="5">R4</f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14</v>
      </c>
    </row>
    <row r="5" spans="1:21" x14ac:dyDescent="0.3">
      <c r="A5" t="s">
        <v>2</v>
      </c>
      <c r="B5" t="s">
        <v>8</v>
      </c>
      <c r="C5" s="1">
        <v>104</v>
      </c>
      <c r="D5" s="1">
        <v>103</v>
      </c>
      <c r="E5" s="1">
        <v>2</v>
      </c>
      <c r="F5" s="2">
        <f t="shared" si="0"/>
        <v>0</v>
      </c>
      <c r="G5" s="2">
        <f t="shared" si="1"/>
        <v>0</v>
      </c>
      <c r="H5" s="2">
        <f t="shared" si="2"/>
        <v>0</v>
      </c>
      <c r="I5" s="2">
        <f t="shared" si="3"/>
        <v>0</v>
      </c>
      <c r="J5" s="2">
        <f t="shared" si="4"/>
        <v>0</v>
      </c>
      <c r="K5" s="2">
        <f t="shared" si="5"/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2</v>
      </c>
    </row>
    <row r="6" spans="1:21" s="3" customFormat="1" x14ac:dyDescent="0.3">
      <c r="A6" s="3" t="s">
        <v>2</v>
      </c>
      <c r="B6" s="3" t="s">
        <v>9</v>
      </c>
      <c r="C6" s="4"/>
      <c r="D6" s="4"/>
      <c r="E6" s="4"/>
      <c r="F6" s="4">
        <f t="shared" si="0"/>
        <v>0</v>
      </c>
      <c r="G6" s="4">
        <f t="shared" si="1"/>
        <v>0</v>
      </c>
      <c r="H6" s="4">
        <f t="shared" si="2"/>
        <v>0</v>
      </c>
      <c r="I6" s="4">
        <f t="shared" si="3"/>
        <v>0</v>
      </c>
      <c r="J6" s="4">
        <f t="shared" si="4"/>
        <v>0</v>
      </c>
      <c r="K6" s="4">
        <f t="shared" si="5"/>
        <v>0</v>
      </c>
      <c r="L6" s="4"/>
      <c r="M6" s="4"/>
      <c r="N6" s="4"/>
      <c r="O6" s="4"/>
      <c r="P6" s="4"/>
      <c r="Q6" s="4"/>
      <c r="R6" s="4"/>
      <c r="S6" s="4"/>
      <c r="T6" s="4"/>
      <c r="U6" s="3" t="s">
        <v>51</v>
      </c>
    </row>
    <row r="7" spans="1:21" x14ac:dyDescent="0.3">
      <c r="A7" t="s">
        <v>2</v>
      </c>
      <c r="B7" t="s">
        <v>10</v>
      </c>
      <c r="F7" s="2">
        <f t="shared" si="0"/>
        <v>0</v>
      </c>
      <c r="G7" s="2">
        <f t="shared" si="1"/>
        <v>0</v>
      </c>
      <c r="H7" s="2">
        <f t="shared" si="2"/>
        <v>0</v>
      </c>
      <c r="I7" s="2">
        <f t="shared" si="3"/>
        <v>0</v>
      </c>
      <c r="J7" s="2">
        <f t="shared" si="4"/>
        <v>0</v>
      </c>
      <c r="K7" s="2">
        <f t="shared" si="5"/>
        <v>0</v>
      </c>
    </row>
    <row r="8" spans="1:21" x14ac:dyDescent="0.3">
      <c r="A8" t="s">
        <v>2</v>
      </c>
      <c r="B8" t="s">
        <v>11</v>
      </c>
      <c r="F8" s="2">
        <f t="shared" si="0"/>
        <v>0</v>
      </c>
      <c r="G8" s="2">
        <f t="shared" si="1"/>
        <v>0</v>
      </c>
      <c r="H8" s="2">
        <f t="shared" si="2"/>
        <v>0</v>
      </c>
      <c r="I8" s="2">
        <f t="shared" si="3"/>
        <v>0</v>
      </c>
      <c r="J8" s="2">
        <f t="shared" si="4"/>
        <v>0</v>
      </c>
      <c r="K8" s="2">
        <f t="shared" si="5"/>
        <v>0</v>
      </c>
    </row>
    <row r="9" spans="1:21" x14ac:dyDescent="0.3">
      <c r="A9" t="s">
        <v>3</v>
      </c>
      <c r="B9" t="s">
        <v>12</v>
      </c>
      <c r="F9" s="2">
        <f t="shared" si="0"/>
        <v>0</v>
      </c>
      <c r="G9" s="2">
        <f t="shared" si="1"/>
        <v>0</v>
      </c>
      <c r="H9" s="2">
        <f t="shared" si="2"/>
        <v>0</v>
      </c>
      <c r="I9" s="2">
        <f t="shared" si="3"/>
        <v>0</v>
      </c>
      <c r="J9" s="2">
        <f t="shared" si="4"/>
        <v>0</v>
      </c>
      <c r="K9" s="2">
        <f t="shared" si="5"/>
        <v>0</v>
      </c>
    </row>
    <row r="10" spans="1:21" x14ac:dyDescent="0.3">
      <c r="A10" t="s">
        <v>3</v>
      </c>
      <c r="B10" t="s">
        <v>13</v>
      </c>
      <c r="F10" s="2">
        <f t="shared" si="0"/>
        <v>0</v>
      </c>
      <c r="G10" s="2">
        <f t="shared" si="1"/>
        <v>0</v>
      </c>
      <c r="H10" s="2">
        <f t="shared" si="2"/>
        <v>0</v>
      </c>
      <c r="I10" s="2">
        <f t="shared" si="3"/>
        <v>0</v>
      </c>
      <c r="J10" s="2">
        <f t="shared" si="4"/>
        <v>0</v>
      </c>
      <c r="K10" s="2">
        <f t="shared" si="5"/>
        <v>0</v>
      </c>
    </row>
    <row r="11" spans="1:21" x14ac:dyDescent="0.3">
      <c r="A11" t="s">
        <v>3</v>
      </c>
      <c r="B11" t="s">
        <v>14</v>
      </c>
      <c r="F11" s="2">
        <f t="shared" si="0"/>
        <v>0</v>
      </c>
      <c r="G11" s="2">
        <f t="shared" si="1"/>
        <v>0</v>
      </c>
      <c r="H11" s="2">
        <f t="shared" si="2"/>
        <v>0</v>
      </c>
      <c r="I11" s="2">
        <f t="shared" si="3"/>
        <v>0</v>
      </c>
      <c r="J11" s="2">
        <f t="shared" si="4"/>
        <v>0</v>
      </c>
      <c r="K11" s="2">
        <f t="shared" si="5"/>
        <v>0</v>
      </c>
    </row>
    <row r="12" spans="1:21" x14ac:dyDescent="0.3">
      <c r="A12" t="s">
        <v>3</v>
      </c>
      <c r="B12" t="s">
        <v>15</v>
      </c>
      <c r="F12" s="2">
        <f t="shared" si="0"/>
        <v>0</v>
      </c>
      <c r="G12" s="2">
        <f t="shared" si="1"/>
        <v>0</v>
      </c>
      <c r="H12" s="2">
        <f t="shared" si="2"/>
        <v>0</v>
      </c>
      <c r="I12" s="2">
        <f t="shared" si="3"/>
        <v>0</v>
      </c>
      <c r="J12" s="2">
        <f t="shared" si="4"/>
        <v>0</v>
      </c>
      <c r="K12" s="2">
        <f t="shared" si="5"/>
        <v>0</v>
      </c>
    </row>
    <row r="13" spans="1:21" x14ac:dyDescent="0.3">
      <c r="A13" t="s">
        <v>3</v>
      </c>
      <c r="B13" t="s">
        <v>16</v>
      </c>
      <c r="F13" s="2">
        <f t="shared" si="0"/>
        <v>0</v>
      </c>
      <c r="G13" s="2">
        <f t="shared" si="1"/>
        <v>0</v>
      </c>
      <c r="H13" s="2">
        <f t="shared" si="2"/>
        <v>0</v>
      </c>
      <c r="I13" s="2">
        <f t="shared" si="3"/>
        <v>0</v>
      </c>
      <c r="J13" s="2">
        <f t="shared" si="4"/>
        <v>0</v>
      </c>
      <c r="K13" s="2">
        <f t="shared" si="5"/>
        <v>0</v>
      </c>
    </row>
    <row r="14" spans="1:21" x14ac:dyDescent="0.3">
      <c r="A14" t="s">
        <v>3</v>
      </c>
      <c r="B14" t="s">
        <v>17</v>
      </c>
      <c r="F14" s="2">
        <f t="shared" si="0"/>
        <v>0</v>
      </c>
      <c r="G14" s="2">
        <f t="shared" si="1"/>
        <v>0</v>
      </c>
      <c r="H14" s="2">
        <f t="shared" si="2"/>
        <v>0</v>
      </c>
      <c r="I14" s="2">
        <f t="shared" si="3"/>
        <v>0</v>
      </c>
      <c r="J14" s="2">
        <f t="shared" si="4"/>
        <v>0</v>
      </c>
      <c r="K14" s="2">
        <f t="shared" si="5"/>
        <v>0</v>
      </c>
    </row>
    <row r="15" spans="1:21" x14ac:dyDescent="0.3">
      <c r="A15" t="s">
        <v>4</v>
      </c>
      <c r="B15" t="s">
        <v>18</v>
      </c>
      <c r="F15" s="2">
        <f t="shared" si="0"/>
        <v>0</v>
      </c>
      <c r="G15" s="2">
        <f t="shared" si="1"/>
        <v>0</v>
      </c>
      <c r="H15" s="2">
        <f t="shared" si="2"/>
        <v>0</v>
      </c>
      <c r="I15" s="2">
        <f t="shared" si="3"/>
        <v>0</v>
      </c>
      <c r="J15" s="2">
        <f t="shared" si="4"/>
        <v>0</v>
      </c>
      <c r="K15" s="2">
        <f t="shared" si="5"/>
        <v>0</v>
      </c>
    </row>
    <row r="16" spans="1:21" x14ac:dyDescent="0.3">
      <c r="A16" t="s">
        <v>4</v>
      </c>
      <c r="B16" t="s">
        <v>19</v>
      </c>
      <c r="F16" s="2">
        <f t="shared" si="0"/>
        <v>0</v>
      </c>
      <c r="G16" s="2">
        <f t="shared" si="1"/>
        <v>0</v>
      </c>
      <c r="H16" s="2">
        <f t="shared" si="2"/>
        <v>0</v>
      </c>
      <c r="I16" s="2">
        <f t="shared" si="3"/>
        <v>0</v>
      </c>
      <c r="J16" s="2">
        <f t="shared" si="4"/>
        <v>0</v>
      </c>
      <c r="K16" s="2">
        <f t="shared" si="5"/>
        <v>0</v>
      </c>
    </row>
    <row r="17" spans="1:11" x14ac:dyDescent="0.3">
      <c r="A17" t="s">
        <v>4</v>
      </c>
      <c r="B17" t="s">
        <v>20</v>
      </c>
      <c r="F17" s="2">
        <f t="shared" si="0"/>
        <v>0</v>
      </c>
      <c r="G17" s="2">
        <f t="shared" si="1"/>
        <v>0</v>
      </c>
      <c r="H17" s="2">
        <f t="shared" si="2"/>
        <v>0</v>
      </c>
      <c r="I17" s="2">
        <f t="shared" si="3"/>
        <v>0</v>
      </c>
      <c r="J17" s="2">
        <f t="shared" si="4"/>
        <v>0</v>
      </c>
      <c r="K17" s="2">
        <f t="shared" si="5"/>
        <v>0</v>
      </c>
    </row>
    <row r="18" spans="1:11" x14ac:dyDescent="0.3">
      <c r="A18" t="s">
        <v>4</v>
      </c>
      <c r="B18" t="s">
        <v>21</v>
      </c>
      <c r="F18" s="2">
        <f t="shared" si="0"/>
        <v>0</v>
      </c>
      <c r="G18" s="2">
        <f t="shared" si="1"/>
        <v>0</v>
      </c>
      <c r="H18" s="2">
        <f t="shared" si="2"/>
        <v>0</v>
      </c>
      <c r="I18" s="2">
        <f t="shared" si="3"/>
        <v>0</v>
      </c>
      <c r="J18" s="2">
        <f t="shared" si="4"/>
        <v>0</v>
      </c>
      <c r="K18" s="2">
        <f t="shared" si="5"/>
        <v>0</v>
      </c>
    </row>
    <row r="19" spans="1:11" x14ac:dyDescent="0.3">
      <c r="A19" t="s">
        <v>4</v>
      </c>
      <c r="B19" t="s">
        <v>22</v>
      </c>
      <c r="F19" s="2">
        <f t="shared" si="0"/>
        <v>0</v>
      </c>
      <c r="G19" s="2">
        <f t="shared" si="1"/>
        <v>0</v>
      </c>
      <c r="H19" s="2">
        <f t="shared" si="2"/>
        <v>0</v>
      </c>
      <c r="I19" s="2">
        <f t="shared" si="3"/>
        <v>0</v>
      </c>
      <c r="J19" s="2">
        <f t="shared" si="4"/>
        <v>0</v>
      </c>
      <c r="K19" s="2">
        <f t="shared" si="5"/>
        <v>0</v>
      </c>
    </row>
    <row r="20" spans="1:11" x14ac:dyDescent="0.3">
      <c r="A20" t="s">
        <v>4</v>
      </c>
      <c r="B20" t="s">
        <v>23</v>
      </c>
      <c r="F20" s="2">
        <f t="shared" si="0"/>
        <v>0</v>
      </c>
      <c r="G20" s="2">
        <f t="shared" si="1"/>
        <v>0</v>
      </c>
      <c r="H20" s="2">
        <f t="shared" si="2"/>
        <v>0</v>
      </c>
      <c r="I20" s="2">
        <f t="shared" si="3"/>
        <v>0</v>
      </c>
      <c r="J20" s="2">
        <f t="shared" si="4"/>
        <v>0</v>
      </c>
      <c r="K20" s="2">
        <f t="shared" si="5"/>
        <v>0</v>
      </c>
    </row>
    <row r="21" spans="1:11" x14ac:dyDescent="0.3">
      <c r="A21" t="s">
        <v>5</v>
      </c>
      <c r="B21" t="s">
        <v>24</v>
      </c>
      <c r="F21" s="2">
        <f t="shared" si="0"/>
        <v>0</v>
      </c>
      <c r="G21" s="2">
        <f t="shared" si="1"/>
        <v>0</v>
      </c>
      <c r="H21" s="2">
        <f t="shared" si="2"/>
        <v>0</v>
      </c>
      <c r="I21" s="2">
        <f t="shared" si="3"/>
        <v>0</v>
      </c>
      <c r="J21" s="2">
        <f t="shared" si="4"/>
        <v>0</v>
      </c>
      <c r="K21" s="2">
        <f t="shared" si="5"/>
        <v>0</v>
      </c>
    </row>
    <row r="22" spans="1:11" x14ac:dyDescent="0.3">
      <c r="A22" t="s">
        <v>5</v>
      </c>
      <c r="B22" t="s">
        <v>25</v>
      </c>
      <c r="F22" s="2">
        <f t="shared" si="0"/>
        <v>0</v>
      </c>
      <c r="G22" s="2">
        <f t="shared" si="1"/>
        <v>0</v>
      </c>
      <c r="H22" s="2">
        <f t="shared" si="2"/>
        <v>0</v>
      </c>
      <c r="I22" s="2">
        <f t="shared" si="3"/>
        <v>0</v>
      </c>
      <c r="J22" s="2">
        <f t="shared" si="4"/>
        <v>0</v>
      </c>
      <c r="K22" s="2">
        <f t="shared" si="5"/>
        <v>0</v>
      </c>
    </row>
    <row r="23" spans="1:11" x14ac:dyDescent="0.3">
      <c r="A23" t="s">
        <v>5</v>
      </c>
      <c r="B23" t="s">
        <v>26</v>
      </c>
      <c r="F23" s="2">
        <f t="shared" si="0"/>
        <v>0</v>
      </c>
      <c r="G23" s="2">
        <f t="shared" si="1"/>
        <v>0</v>
      </c>
      <c r="H23" s="2">
        <f t="shared" si="2"/>
        <v>0</v>
      </c>
      <c r="I23" s="2">
        <f t="shared" si="3"/>
        <v>0</v>
      </c>
      <c r="J23" s="2">
        <f t="shared" si="4"/>
        <v>0</v>
      </c>
      <c r="K23" s="2">
        <f t="shared" si="5"/>
        <v>0</v>
      </c>
    </row>
    <row r="24" spans="1:11" x14ac:dyDescent="0.3">
      <c r="A24" t="s">
        <v>5</v>
      </c>
      <c r="B24" t="s">
        <v>27</v>
      </c>
      <c r="F24" s="2">
        <f t="shared" si="0"/>
        <v>0</v>
      </c>
      <c r="G24" s="2">
        <f t="shared" si="1"/>
        <v>0</v>
      </c>
      <c r="H24" s="2">
        <f t="shared" si="2"/>
        <v>0</v>
      </c>
      <c r="I24" s="2">
        <f t="shared" si="3"/>
        <v>0</v>
      </c>
      <c r="J24" s="2">
        <f t="shared" si="4"/>
        <v>0</v>
      </c>
      <c r="K24" s="2">
        <f t="shared" si="5"/>
        <v>0</v>
      </c>
    </row>
    <row r="25" spans="1:11" x14ac:dyDescent="0.3">
      <c r="A25" t="s">
        <v>5</v>
      </c>
      <c r="B25" t="s">
        <v>28</v>
      </c>
      <c r="F25" s="2">
        <f t="shared" si="0"/>
        <v>0</v>
      </c>
      <c r="G25" s="2">
        <f t="shared" si="1"/>
        <v>0</v>
      </c>
      <c r="H25" s="2">
        <f t="shared" si="2"/>
        <v>0</v>
      </c>
      <c r="I25" s="2">
        <f t="shared" si="3"/>
        <v>0</v>
      </c>
      <c r="J25" s="2">
        <f t="shared" si="4"/>
        <v>0</v>
      </c>
      <c r="K25" s="2">
        <f t="shared" si="5"/>
        <v>0</v>
      </c>
    </row>
    <row r="26" spans="1:11" x14ac:dyDescent="0.3">
      <c r="A26" t="s">
        <v>5</v>
      </c>
      <c r="B26" t="s">
        <v>29</v>
      </c>
      <c r="F26" s="2">
        <f t="shared" si="0"/>
        <v>0</v>
      </c>
      <c r="G26" s="2">
        <f t="shared" si="1"/>
        <v>0</v>
      </c>
      <c r="H26" s="2">
        <f t="shared" si="2"/>
        <v>0</v>
      </c>
      <c r="I26" s="2">
        <f t="shared" si="3"/>
        <v>0</v>
      </c>
      <c r="J26" s="2">
        <f t="shared" si="4"/>
        <v>0</v>
      </c>
      <c r="K26" s="2">
        <f t="shared" si="5"/>
        <v>0</v>
      </c>
    </row>
    <row r="28" spans="1:11" x14ac:dyDescent="0.3">
      <c r="F28" s="2" t="s">
        <v>40</v>
      </c>
      <c r="H28" s="2" t="s">
        <v>39</v>
      </c>
    </row>
  </sheetData>
  <mergeCells count="6">
    <mergeCell ref="R1:S1"/>
    <mergeCell ref="F1:G1"/>
    <mergeCell ref="H1:I1"/>
    <mergeCell ref="L1:M1"/>
    <mergeCell ref="N1:O1"/>
    <mergeCell ref="P1:Q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0D275-F070-4BE2-8B55-94F930913A2C}">
  <dimension ref="A1:T53"/>
  <sheetViews>
    <sheetView tabSelected="1" zoomScale="90" zoomScaleNormal="145" workbookViewId="0">
      <pane xSplit="2" ySplit="2" topLeftCell="C20" activePane="bottomRight" state="frozen"/>
      <selection pane="topRight" activeCell="C1" sqref="C1"/>
      <selection pane="bottomLeft" activeCell="A2" sqref="A2"/>
      <selection pane="bottomRight" activeCell="E18" sqref="E18"/>
    </sheetView>
  </sheetViews>
  <sheetFormatPr defaultRowHeight="14.4" x14ac:dyDescent="0.3"/>
  <cols>
    <col min="1" max="1" width="23.88671875" bestFit="1" customWidth="1"/>
    <col min="2" max="2" width="43" bestFit="1" customWidth="1"/>
    <col min="3" max="5" width="9.109375" style="1"/>
    <col min="6" max="11" width="9.109375" style="2"/>
    <col min="12" max="17" width="9.109375" style="1"/>
    <col min="18" max="18" width="11.109375" style="1" bestFit="1" customWidth="1"/>
    <col min="19" max="19" width="10.6640625" style="1" bestFit="1" customWidth="1"/>
    <col min="20" max="20" width="9.109375" style="1"/>
  </cols>
  <sheetData>
    <row r="1" spans="1:20" x14ac:dyDescent="0.3">
      <c r="F1" s="6" t="s">
        <v>35</v>
      </c>
      <c r="G1" s="6"/>
      <c r="H1" s="6" t="s">
        <v>36</v>
      </c>
      <c r="I1" s="6"/>
      <c r="J1" s="2" t="s">
        <v>48</v>
      </c>
      <c r="L1" s="5" t="s">
        <v>41</v>
      </c>
      <c r="M1" s="5"/>
      <c r="N1" s="5" t="s">
        <v>42</v>
      </c>
      <c r="O1" s="5"/>
      <c r="P1" s="5" t="s">
        <v>43</v>
      </c>
      <c r="Q1" s="5"/>
      <c r="R1" s="5" t="s">
        <v>44</v>
      </c>
      <c r="S1" s="5"/>
      <c r="T1" s="1" t="s">
        <v>41</v>
      </c>
    </row>
    <row r="2" spans="1:20" x14ac:dyDescent="0.3">
      <c r="A2" t="s">
        <v>0</v>
      </c>
      <c r="B2" t="s">
        <v>1</v>
      </c>
      <c r="C2" s="1" t="s">
        <v>30</v>
      </c>
      <c r="D2" s="1" t="s">
        <v>31</v>
      </c>
      <c r="E2" s="1" t="s">
        <v>32</v>
      </c>
      <c r="F2" s="2" t="s">
        <v>33</v>
      </c>
      <c r="G2" s="2" t="s">
        <v>34</v>
      </c>
      <c r="H2" s="2" t="s">
        <v>37</v>
      </c>
      <c r="I2" s="2" t="s">
        <v>38</v>
      </c>
      <c r="J2" s="2" t="s">
        <v>49</v>
      </c>
      <c r="K2" s="2" t="s">
        <v>50</v>
      </c>
      <c r="L2" s="1" t="s">
        <v>37</v>
      </c>
      <c r="M2" s="1" t="s">
        <v>38</v>
      </c>
      <c r="N2" s="1" t="s">
        <v>37</v>
      </c>
      <c r="O2" s="1" t="s">
        <v>38</v>
      </c>
      <c r="P2" s="1" t="s">
        <v>37</v>
      </c>
      <c r="Q2" s="1" t="s">
        <v>38</v>
      </c>
      <c r="R2" s="1" t="s">
        <v>45</v>
      </c>
      <c r="S2" s="1" t="s">
        <v>46</v>
      </c>
      <c r="T2" s="1" t="s">
        <v>47</v>
      </c>
    </row>
    <row r="3" spans="1:20" x14ac:dyDescent="0.3">
      <c r="A3" t="s">
        <v>2</v>
      </c>
      <c r="B3" t="s">
        <v>6</v>
      </c>
      <c r="C3" s="1">
        <v>120</v>
      </c>
      <c r="D3" s="1">
        <v>104</v>
      </c>
      <c r="E3" s="1">
        <v>20</v>
      </c>
      <c r="F3" s="2">
        <f>P3</f>
        <v>1</v>
      </c>
      <c r="G3" s="2">
        <f>Q3</f>
        <v>0</v>
      </c>
      <c r="H3" s="2">
        <f>L3+N3</f>
        <v>8</v>
      </c>
      <c r="I3" s="2">
        <f>M3+O3</f>
        <v>8</v>
      </c>
      <c r="J3" s="2">
        <f>S3</f>
        <v>0</v>
      </c>
      <c r="K3" s="2">
        <f>R3</f>
        <v>0</v>
      </c>
      <c r="L3" s="1">
        <v>8</v>
      </c>
      <c r="M3" s="1">
        <v>8</v>
      </c>
      <c r="N3" s="1">
        <v>0</v>
      </c>
      <c r="O3" s="1">
        <v>0</v>
      </c>
      <c r="P3" s="1">
        <v>1</v>
      </c>
      <c r="Q3" s="1">
        <v>0</v>
      </c>
      <c r="R3" s="1">
        <v>0</v>
      </c>
      <c r="S3" s="1">
        <v>0</v>
      </c>
      <c r="T3" s="1">
        <v>6</v>
      </c>
    </row>
    <row r="4" spans="1:20" x14ac:dyDescent="0.3">
      <c r="A4" t="s">
        <v>2</v>
      </c>
      <c r="B4" t="s">
        <v>7</v>
      </c>
      <c r="C4" s="1">
        <v>109</v>
      </c>
      <c r="D4" s="1">
        <v>90</v>
      </c>
      <c r="E4" s="1">
        <v>21</v>
      </c>
      <c r="F4" s="2">
        <f t="shared" ref="F4:G40" si="0">P4</f>
        <v>0</v>
      </c>
      <c r="G4" s="2">
        <f t="shared" si="0"/>
        <v>1</v>
      </c>
      <c r="H4" s="2">
        <f t="shared" ref="H4:I40" si="1">L4+N4</f>
        <v>10</v>
      </c>
      <c r="I4" s="2">
        <f t="shared" si="1"/>
        <v>15</v>
      </c>
      <c r="J4" s="2">
        <f t="shared" ref="J4:J40" si="2">S4</f>
        <v>0</v>
      </c>
      <c r="K4" s="2">
        <f t="shared" ref="K4:K40" si="3">R4</f>
        <v>0</v>
      </c>
      <c r="L4" s="1">
        <v>1</v>
      </c>
      <c r="M4" s="1">
        <v>6</v>
      </c>
      <c r="N4" s="1">
        <v>9</v>
      </c>
      <c r="O4" s="1">
        <v>9</v>
      </c>
      <c r="P4" s="1">
        <v>0</v>
      </c>
      <c r="Q4" s="1">
        <v>1</v>
      </c>
      <c r="R4" s="1">
        <v>0</v>
      </c>
      <c r="S4" s="1">
        <v>0</v>
      </c>
      <c r="T4" s="1">
        <v>11</v>
      </c>
    </row>
    <row r="5" spans="1:20" x14ac:dyDescent="0.3">
      <c r="A5" t="s">
        <v>2</v>
      </c>
      <c r="B5" t="s">
        <v>8</v>
      </c>
      <c r="C5" s="1">
        <v>104</v>
      </c>
      <c r="D5" s="1">
        <v>103</v>
      </c>
      <c r="E5" s="1">
        <v>2</v>
      </c>
      <c r="F5" s="2">
        <f t="shared" si="0"/>
        <v>0</v>
      </c>
      <c r="G5" s="2">
        <f t="shared" si="0"/>
        <v>0</v>
      </c>
      <c r="H5" s="2">
        <f t="shared" si="1"/>
        <v>0</v>
      </c>
      <c r="I5" s="2">
        <f t="shared" si="1"/>
        <v>0</v>
      </c>
      <c r="J5" s="2">
        <f t="shared" si="2"/>
        <v>0</v>
      </c>
      <c r="K5" s="2">
        <f t="shared" si="3"/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2</v>
      </c>
    </row>
    <row r="6" spans="1:20" x14ac:dyDescent="0.3">
      <c r="A6" t="s">
        <v>2</v>
      </c>
      <c r="B6" t="s">
        <v>9</v>
      </c>
      <c r="C6" s="1">
        <v>95</v>
      </c>
      <c r="D6" s="1">
        <v>93</v>
      </c>
      <c r="E6" s="1">
        <v>12</v>
      </c>
      <c r="F6" s="2">
        <f t="shared" si="0"/>
        <v>0</v>
      </c>
      <c r="G6" s="2">
        <f t="shared" si="0"/>
        <v>0</v>
      </c>
      <c r="H6" s="2">
        <f t="shared" si="1"/>
        <v>4</v>
      </c>
      <c r="I6" s="2">
        <f t="shared" si="1"/>
        <v>8</v>
      </c>
      <c r="J6" s="2">
        <f t="shared" si="2"/>
        <v>0</v>
      </c>
      <c r="K6" s="2">
        <f t="shared" si="3"/>
        <v>0</v>
      </c>
      <c r="L6" s="1">
        <v>4</v>
      </c>
      <c r="M6" s="1">
        <v>8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</row>
    <row r="7" spans="1:20" x14ac:dyDescent="0.3">
      <c r="A7" t="s">
        <v>2</v>
      </c>
      <c r="B7" t="s">
        <v>10</v>
      </c>
      <c r="C7" s="1">
        <v>100</v>
      </c>
      <c r="D7" s="1">
        <v>100</v>
      </c>
      <c r="E7" s="1">
        <v>0</v>
      </c>
      <c r="F7" s="2">
        <f t="shared" si="0"/>
        <v>0</v>
      </c>
      <c r="G7" s="2">
        <f t="shared" si="0"/>
        <v>0</v>
      </c>
      <c r="H7" s="2">
        <f t="shared" si="1"/>
        <v>0</v>
      </c>
      <c r="I7" s="2">
        <f t="shared" si="1"/>
        <v>0</v>
      </c>
      <c r="J7" s="2">
        <f t="shared" si="2"/>
        <v>0</v>
      </c>
      <c r="K7" s="2">
        <f t="shared" si="3"/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</row>
    <row r="8" spans="1:20" s="3" customFormat="1" x14ac:dyDescent="0.3">
      <c r="A8" s="3" t="s">
        <v>2</v>
      </c>
      <c r="B8" s="3" t="s">
        <v>11</v>
      </c>
      <c r="C8" s="4"/>
      <c r="D8" s="4"/>
      <c r="E8" s="4"/>
      <c r="F8" s="4">
        <f t="shared" si="0"/>
        <v>0</v>
      </c>
      <c r="G8" s="4">
        <f t="shared" si="0"/>
        <v>0</v>
      </c>
      <c r="H8" s="4">
        <f t="shared" si="1"/>
        <v>0</v>
      </c>
      <c r="I8" s="4">
        <f t="shared" si="1"/>
        <v>0</v>
      </c>
      <c r="J8" s="4">
        <f t="shared" si="2"/>
        <v>0</v>
      </c>
      <c r="K8" s="4">
        <f t="shared" si="3"/>
        <v>0</v>
      </c>
      <c r="L8" s="4"/>
      <c r="M8" s="4"/>
      <c r="N8" s="4"/>
      <c r="O8" s="4"/>
      <c r="P8" s="4"/>
      <c r="Q8" s="4"/>
      <c r="R8" s="4"/>
      <c r="S8" s="4"/>
      <c r="T8" s="4"/>
    </row>
    <row r="9" spans="1:20" x14ac:dyDescent="0.3">
      <c r="A9" t="s">
        <v>3</v>
      </c>
      <c r="B9" t="s">
        <v>12</v>
      </c>
      <c r="C9" s="1">
        <v>108</v>
      </c>
      <c r="D9" s="1">
        <v>104</v>
      </c>
      <c r="E9" s="1">
        <v>6</v>
      </c>
      <c r="F9" s="2">
        <f t="shared" si="0"/>
        <v>0</v>
      </c>
      <c r="G9" s="2">
        <f t="shared" si="0"/>
        <v>0</v>
      </c>
      <c r="H9" s="2">
        <f t="shared" si="1"/>
        <v>1</v>
      </c>
      <c r="I9" s="2">
        <f t="shared" si="1"/>
        <v>2</v>
      </c>
      <c r="J9" s="2">
        <f t="shared" si="2"/>
        <v>0</v>
      </c>
      <c r="K9" s="2">
        <f t="shared" si="3"/>
        <v>0</v>
      </c>
      <c r="L9" s="1">
        <v>1</v>
      </c>
      <c r="M9" s="1">
        <v>2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3</v>
      </c>
    </row>
    <row r="10" spans="1:20" x14ac:dyDescent="0.3">
      <c r="A10" t="s">
        <v>3</v>
      </c>
      <c r="B10" t="s">
        <v>13</v>
      </c>
      <c r="C10" s="1">
        <v>106</v>
      </c>
      <c r="D10" s="1">
        <v>98</v>
      </c>
      <c r="E10" s="1">
        <v>19</v>
      </c>
      <c r="F10" s="2">
        <f t="shared" si="0"/>
        <v>0</v>
      </c>
      <c r="G10" s="2">
        <f t="shared" si="0"/>
        <v>0</v>
      </c>
      <c r="H10" s="2">
        <f t="shared" si="1"/>
        <v>4</v>
      </c>
      <c r="I10" s="2">
        <f t="shared" si="1"/>
        <v>4</v>
      </c>
      <c r="J10" s="2">
        <f t="shared" si="2"/>
        <v>0</v>
      </c>
      <c r="K10" s="2">
        <f t="shared" si="3"/>
        <v>0</v>
      </c>
      <c r="L10" s="1">
        <v>1</v>
      </c>
      <c r="M10" s="1">
        <v>1</v>
      </c>
      <c r="N10" s="1">
        <v>3</v>
      </c>
      <c r="O10" s="1">
        <v>3</v>
      </c>
      <c r="P10" s="1">
        <v>0</v>
      </c>
      <c r="Q10" s="1">
        <v>0</v>
      </c>
      <c r="R10" s="1">
        <v>0</v>
      </c>
      <c r="S10" s="1">
        <v>0</v>
      </c>
      <c r="T10" s="1">
        <v>4</v>
      </c>
    </row>
    <row r="11" spans="1:20" x14ac:dyDescent="0.3">
      <c r="A11" t="s">
        <v>3</v>
      </c>
      <c r="B11" t="s">
        <v>14</v>
      </c>
      <c r="C11" s="1">
        <v>102</v>
      </c>
      <c r="D11" s="1">
        <v>102</v>
      </c>
      <c r="E11" s="1">
        <v>0</v>
      </c>
      <c r="F11" s="2">
        <f t="shared" si="0"/>
        <v>0</v>
      </c>
      <c r="G11" s="2">
        <f t="shared" si="0"/>
        <v>0</v>
      </c>
      <c r="H11" s="2">
        <f t="shared" si="1"/>
        <v>0</v>
      </c>
      <c r="I11" s="2">
        <f t="shared" si="1"/>
        <v>0</v>
      </c>
      <c r="J11" s="2">
        <f t="shared" si="2"/>
        <v>0</v>
      </c>
      <c r="K11" s="2">
        <f t="shared" si="3"/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</row>
    <row r="12" spans="1:20" s="3" customFormat="1" x14ac:dyDescent="0.3">
      <c r="A12" s="3" t="s">
        <v>3</v>
      </c>
      <c r="B12" s="3" t="s">
        <v>15</v>
      </c>
      <c r="C12" s="4"/>
      <c r="D12" s="4"/>
      <c r="E12" s="4"/>
      <c r="F12" s="4">
        <f t="shared" si="0"/>
        <v>0</v>
      </c>
      <c r="G12" s="4">
        <f t="shared" si="0"/>
        <v>0</v>
      </c>
      <c r="H12" s="4">
        <f t="shared" si="1"/>
        <v>0</v>
      </c>
      <c r="I12" s="4">
        <f t="shared" si="1"/>
        <v>0</v>
      </c>
      <c r="J12" s="4">
        <f t="shared" si="2"/>
        <v>0</v>
      </c>
      <c r="K12" s="4">
        <f t="shared" si="3"/>
        <v>0</v>
      </c>
      <c r="L12" s="4"/>
      <c r="M12" s="4"/>
      <c r="N12" s="4"/>
      <c r="O12" s="4"/>
      <c r="P12" s="4"/>
      <c r="Q12" s="4"/>
      <c r="R12" s="4"/>
      <c r="S12" s="4"/>
      <c r="T12" s="4"/>
    </row>
    <row r="13" spans="1:20" x14ac:dyDescent="0.3">
      <c r="A13" t="s">
        <v>3</v>
      </c>
      <c r="B13" t="s">
        <v>16</v>
      </c>
      <c r="C13" s="1">
        <v>102</v>
      </c>
      <c r="D13" s="1">
        <v>102</v>
      </c>
      <c r="E13" s="1">
        <v>0</v>
      </c>
      <c r="F13" s="2">
        <f t="shared" si="0"/>
        <v>0</v>
      </c>
      <c r="G13" s="2">
        <f t="shared" si="0"/>
        <v>0</v>
      </c>
      <c r="H13" s="2">
        <f t="shared" si="1"/>
        <v>0</v>
      </c>
      <c r="I13" s="2">
        <f t="shared" si="1"/>
        <v>0</v>
      </c>
      <c r="J13" s="2">
        <f t="shared" si="2"/>
        <v>0</v>
      </c>
      <c r="K13" s="2">
        <f t="shared" si="3"/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</row>
    <row r="14" spans="1:20" s="9" customFormat="1" ht="15" thickBot="1" x14ac:dyDescent="0.35">
      <c r="A14" s="9" t="s">
        <v>3</v>
      </c>
      <c r="B14" s="9" t="s">
        <v>17</v>
      </c>
      <c r="C14" s="10">
        <v>24</v>
      </c>
      <c r="D14" s="10">
        <v>19</v>
      </c>
      <c r="E14" s="10">
        <v>83</v>
      </c>
      <c r="F14" s="10">
        <f t="shared" si="0"/>
        <v>0</v>
      </c>
      <c r="G14" s="10">
        <f t="shared" si="0"/>
        <v>0</v>
      </c>
      <c r="H14" s="10">
        <f t="shared" si="1"/>
        <v>78</v>
      </c>
      <c r="I14" s="10">
        <f t="shared" si="1"/>
        <v>78</v>
      </c>
      <c r="J14" s="10">
        <f t="shared" si="2"/>
        <v>0</v>
      </c>
      <c r="K14" s="10">
        <f t="shared" si="3"/>
        <v>0</v>
      </c>
      <c r="L14" s="10">
        <v>78</v>
      </c>
      <c r="M14" s="10">
        <v>5</v>
      </c>
      <c r="N14" s="10">
        <v>0</v>
      </c>
      <c r="O14" s="10">
        <v>73</v>
      </c>
      <c r="P14" s="10"/>
      <c r="Q14" s="10"/>
      <c r="R14" s="10"/>
      <c r="S14" s="10"/>
      <c r="T14" s="10"/>
    </row>
    <row r="15" spans="1:20" s="7" customFormat="1" x14ac:dyDescent="0.3">
      <c r="A15" s="7" t="s">
        <v>54</v>
      </c>
      <c r="C15" s="11">
        <f>SUM(C3:C7,C9:C11,C13)</f>
        <v>946</v>
      </c>
      <c r="D15" s="11">
        <f t="shared" ref="D15:T15" si="4">SUM(D3:D7,D9:D11,D13)</f>
        <v>896</v>
      </c>
      <c r="E15" s="11">
        <f t="shared" si="4"/>
        <v>80</v>
      </c>
      <c r="F15" s="15">
        <f t="shared" si="4"/>
        <v>1</v>
      </c>
      <c r="G15" s="15">
        <f t="shared" si="4"/>
        <v>1</v>
      </c>
      <c r="H15" s="15">
        <f t="shared" si="4"/>
        <v>27</v>
      </c>
      <c r="I15" s="15">
        <f t="shared" si="4"/>
        <v>37</v>
      </c>
      <c r="J15" s="15">
        <f t="shared" si="4"/>
        <v>0</v>
      </c>
      <c r="K15" s="15">
        <f t="shared" si="4"/>
        <v>0</v>
      </c>
      <c r="L15" s="11">
        <f t="shared" si="4"/>
        <v>15</v>
      </c>
      <c r="M15" s="11">
        <f t="shared" si="4"/>
        <v>25</v>
      </c>
      <c r="N15" s="11">
        <f t="shared" si="4"/>
        <v>12</v>
      </c>
      <c r="O15" s="11">
        <f t="shared" si="4"/>
        <v>12</v>
      </c>
      <c r="P15" s="11">
        <f t="shared" si="4"/>
        <v>1</v>
      </c>
      <c r="Q15" s="11">
        <f t="shared" si="4"/>
        <v>1</v>
      </c>
      <c r="R15" s="11">
        <f t="shared" si="4"/>
        <v>0</v>
      </c>
      <c r="S15" s="11">
        <f t="shared" si="4"/>
        <v>0</v>
      </c>
      <c r="T15" s="11">
        <f t="shared" si="4"/>
        <v>26</v>
      </c>
    </row>
    <row r="20" spans="1:20" x14ac:dyDescent="0.3">
      <c r="C20" s="1" t="s">
        <v>37</v>
      </c>
      <c r="D20" s="1" t="s">
        <v>38</v>
      </c>
    </row>
    <row r="21" spans="1:20" x14ac:dyDescent="0.3">
      <c r="B21" t="s">
        <v>54</v>
      </c>
      <c r="C21" s="1">
        <f>SUM(C15,-F15,H15)</f>
        <v>972</v>
      </c>
      <c r="D21" s="1">
        <f>SUM(D15,-G15,I15)</f>
        <v>932</v>
      </c>
    </row>
    <row r="25" spans="1:20" x14ac:dyDescent="0.3">
      <c r="C25" s="1" t="s">
        <v>37</v>
      </c>
      <c r="D25" s="17" t="s">
        <v>38</v>
      </c>
    </row>
    <row r="26" spans="1:20" x14ac:dyDescent="0.3">
      <c r="B26" t="s">
        <v>55</v>
      </c>
      <c r="C26" s="16">
        <f>(C21-C15)/C21</f>
        <v>2.6748971193415638E-2</v>
      </c>
      <c r="D26" s="16">
        <f>(D21-D15)/D21</f>
        <v>3.8626609442060089E-2</v>
      </c>
    </row>
    <row r="27" spans="1:20" x14ac:dyDescent="0.3">
      <c r="B27" t="s">
        <v>56</v>
      </c>
      <c r="C27" s="16">
        <f>C15/C21</f>
        <v>0.97325102880658432</v>
      </c>
      <c r="D27" s="16">
        <f>D15/D21</f>
        <v>0.96137339055793991</v>
      </c>
    </row>
    <row r="29" spans="1:20" x14ac:dyDescent="0.3">
      <c r="A29" t="s">
        <v>4</v>
      </c>
      <c r="B29" t="s">
        <v>18</v>
      </c>
      <c r="C29" s="1">
        <v>111</v>
      </c>
      <c r="D29" s="1">
        <v>110</v>
      </c>
      <c r="E29" s="1">
        <v>0</v>
      </c>
      <c r="F29" s="2">
        <f t="shared" si="0"/>
        <v>0</v>
      </c>
      <c r="G29" s="2">
        <f t="shared" si="0"/>
        <v>0</v>
      </c>
      <c r="H29" s="2">
        <f t="shared" si="1"/>
        <v>0</v>
      </c>
      <c r="I29" s="2">
        <f t="shared" si="1"/>
        <v>0</v>
      </c>
      <c r="J29" s="2">
        <f t="shared" si="2"/>
        <v>0</v>
      </c>
      <c r="K29" s="2">
        <f t="shared" si="3"/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</row>
    <row r="30" spans="1:20" x14ac:dyDescent="0.3">
      <c r="A30" t="s">
        <v>4</v>
      </c>
      <c r="B30" t="s">
        <v>19</v>
      </c>
      <c r="C30" s="1">
        <v>110</v>
      </c>
      <c r="D30" s="1">
        <v>109</v>
      </c>
      <c r="E30" s="1">
        <v>2</v>
      </c>
      <c r="F30" s="2">
        <f t="shared" si="0"/>
        <v>0</v>
      </c>
      <c r="G30" s="2">
        <f t="shared" si="0"/>
        <v>0</v>
      </c>
      <c r="H30" s="2">
        <f t="shared" si="1"/>
        <v>1</v>
      </c>
      <c r="I30" s="2">
        <f t="shared" si="1"/>
        <v>2</v>
      </c>
      <c r="J30" s="2">
        <f t="shared" si="2"/>
        <v>0</v>
      </c>
      <c r="K30" s="2">
        <f t="shared" si="3"/>
        <v>0</v>
      </c>
      <c r="L30" s="1">
        <v>0</v>
      </c>
      <c r="M30" s="1">
        <v>2</v>
      </c>
      <c r="N30" s="1">
        <v>1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</row>
    <row r="31" spans="1:20" x14ac:dyDescent="0.3">
      <c r="A31" t="s">
        <v>4</v>
      </c>
      <c r="B31" t="s">
        <v>20</v>
      </c>
      <c r="C31" s="1">
        <v>111</v>
      </c>
      <c r="D31" s="1">
        <v>110</v>
      </c>
      <c r="E31" s="1">
        <v>0</v>
      </c>
      <c r="F31" s="2">
        <f t="shared" si="0"/>
        <v>0</v>
      </c>
      <c r="G31" s="2">
        <f t="shared" si="0"/>
        <v>0</v>
      </c>
      <c r="H31" s="2">
        <f t="shared" si="1"/>
        <v>0</v>
      </c>
      <c r="I31" s="2">
        <f t="shared" si="1"/>
        <v>0</v>
      </c>
      <c r="J31" s="2">
        <f t="shared" si="2"/>
        <v>0</v>
      </c>
      <c r="K31" s="2">
        <f t="shared" si="3"/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</row>
    <row r="32" spans="1:20" x14ac:dyDescent="0.3">
      <c r="A32" t="s">
        <v>4</v>
      </c>
      <c r="B32" t="s">
        <v>21</v>
      </c>
      <c r="C32" s="1">
        <v>111</v>
      </c>
      <c r="D32" s="1">
        <v>110</v>
      </c>
      <c r="E32" s="1">
        <v>0</v>
      </c>
      <c r="F32" s="2">
        <f t="shared" si="0"/>
        <v>0</v>
      </c>
      <c r="G32" s="2">
        <f t="shared" si="0"/>
        <v>0</v>
      </c>
      <c r="H32" s="2">
        <f t="shared" si="1"/>
        <v>0</v>
      </c>
      <c r="I32" s="2">
        <f t="shared" si="1"/>
        <v>0</v>
      </c>
      <c r="J32" s="2">
        <f t="shared" si="2"/>
        <v>0</v>
      </c>
      <c r="K32" s="2">
        <f t="shared" si="3"/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</row>
    <row r="33" spans="1:20" x14ac:dyDescent="0.3">
      <c r="A33" t="s">
        <v>4</v>
      </c>
      <c r="B33" t="s">
        <v>22</v>
      </c>
      <c r="C33" s="1">
        <v>111</v>
      </c>
      <c r="D33" s="1">
        <v>110</v>
      </c>
      <c r="E33" s="1">
        <v>0</v>
      </c>
      <c r="F33" s="2">
        <f t="shared" si="0"/>
        <v>0</v>
      </c>
      <c r="G33" s="2">
        <f t="shared" si="0"/>
        <v>0</v>
      </c>
      <c r="H33" s="2">
        <f t="shared" si="1"/>
        <v>0</v>
      </c>
      <c r="I33" s="2">
        <f t="shared" si="1"/>
        <v>0</v>
      </c>
      <c r="J33" s="2">
        <f t="shared" si="2"/>
        <v>0</v>
      </c>
      <c r="K33" s="2">
        <f t="shared" si="3"/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</row>
    <row r="34" spans="1:20" x14ac:dyDescent="0.3">
      <c r="A34" t="s">
        <v>4</v>
      </c>
      <c r="B34" t="s">
        <v>23</v>
      </c>
      <c r="C34" s="1">
        <v>111</v>
      </c>
      <c r="D34" s="1">
        <v>110</v>
      </c>
      <c r="E34" s="1">
        <v>2</v>
      </c>
      <c r="F34" s="2">
        <f t="shared" si="0"/>
        <v>0</v>
      </c>
      <c r="G34" s="2">
        <f t="shared" si="0"/>
        <v>0</v>
      </c>
      <c r="H34" s="2">
        <f t="shared" si="1"/>
        <v>1</v>
      </c>
      <c r="I34" s="2">
        <f t="shared" si="1"/>
        <v>1</v>
      </c>
      <c r="J34" s="2">
        <f t="shared" si="2"/>
        <v>0</v>
      </c>
      <c r="K34" s="2">
        <f t="shared" si="3"/>
        <v>0</v>
      </c>
      <c r="L34" s="1">
        <v>1</v>
      </c>
      <c r="M34" s="1">
        <v>1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</row>
    <row r="35" spans="1:20" x14ac:dyDescent="0.3">
      <c r="A35" t="s">
        <v>5</v>
      </c>
      <c r="B35" t="s">
        <v>24</v>
      </c>
      <c r="C35" s="1">
        <v>113</v>
      </c>
      <c r="D35" s="1">
        <v>112</v>
      </c>
      <c r="E35" s="1">
        <v>0</v>
      </c>
      <c r="F35" s="2">
        <f t="shared" si="0"/>
        <v>0</v>
      </c>
      <c r="G35" s="2">
        <f t="shared" si="0"/>
        <v>0</v>
      </c>
      <c r="H35" s="2">
        <f t="shared" si="1"/>
        <v>0</v>
      </c>
      <c r="I35" s="2">
        <f t="shared" si="1"/>
        <v>0</v>
      </c>
      <c r="J35" s="2">
        <f t="shared" si="2"/>
        <v>0</v>
      </c>
      <c r="K35" s="2">
        <f t="shared" si="3"/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</row>
    <row r="36" spans="1:20" x14ac:dyDescent="0.3">
      <c r="A36" t="s">
        <v>5</v>
      </c>
      <c r="B36" t="s">
        <v>25</v>
      </c>
      <c r="C36" s="1">
        <v>114</v>
      </c>
      <c r="D36" s="1">
        <v>110</v>
      </c>
      <c r="E36" s="1">
        <v>9</v>
      </c>
      <c r="F36" s="2">
        <f t="shared" si="0"/>
        <v>0</v>
      </c>
      <c r="G36" s="2">
        <f t="shared" si="0"/>
        <v>0</v>
      </c>
      <c r="H36" s="2">
        <f t="shared" si="1"/>
        <v>4</v>
      </c>
      <c r="I36" s="2">
        <f t="shared" si="1"/>
        <v>3</v>
      </c>
      <c r="J36" s="2">
        <f t="shared" si="2"/>
        <v>0</v>
      </c>
      <c r="K36" s="2">
        <f t="shared" si="3"/>
        <v>0</v>
      </c>
      <c r="L36" s="1">
        <v>4</v>
      </c>
      <c r="M36" s="1">
        <v>3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2</v>
      </c>
    </row>
    <row r="37" spans="1:20" x14ac:dyDescent="0.3">
      <c r="A37" t="s">
        <v>5</v>
      </c>
      <c r="B37" t="s">
        <v>26</v>
      </c>
      <c r="C37" s="1">
        <v>113</v>
      </c>
      <c r="D37" s="1">
        <v>112</v>
      </c>
      <c r="E37" s="1">
        <v>0</v>
      </c>
      <c r="F37" s="2">
        <f t="shared" si="0"/>
        <v>0</v>
      </c>
      <c r="G37" s="2">
        <f t="shared" si="0"/>
        <v>0</v>
      </c>
      <c r="H37" s="2">
        <f t="shared" si="1"/>
        <v>0</v>
      </c>
      <c r="I37" s="2">
        <f t="shared" si="1"/>
        <v>0</v>
      </c>
      <c r="J37" s="2">
        <f t="shared" si="2"/>
        <v>0</v>
      </c>
      <c r="K37" s="2">
        <f t="shared" si="3"/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</row>
    <row r="38" spans="1:20" x14ac:dyDescent="0.3">
      <c r="A38" t="s">
        <v>5</v>
      </c>
      <c r="B38" t="s">
        <v>27</v>
      </c>
      <c r="C38" s="1">
        <v>113</v>
      </c>
      <c r="D38" s="1">
        <v>112</v>
      </c>
      <c r="E38" s="1">
        <v>0</v>
      </c>
      <c r="F38" s="2">
        <f t="shared" si="0"/>
        <v>0</v>
      </c>
      <c r="G38" s="2">
        <f t="shared" si="0"/>
        <v>0</v>
      </c>
      <c r="H38" s="2">
        <f t="shared" si="1"/>
        <v>0</v>
      </c>
      <c r="I38" s="2">
        <f t="shared" si="1"/>
        <v>0</v>
      </c>
      <c r="J38" s="2">
        <f t="shared" si="2"/>
        <v>0</v>
      </c>
      <c r="K38" s="2">
        <f t="shared" si="3"/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</row>
    <row r="39" spans="1:20" x14ac:dyDescent="0.3">
      <c r="A39" t="s">
        <v>5</v>
      </c>
      <c r="B39" t="s">
        <v>28</v>
      </c>
      <c r="C39" s="1">
        <v>115</v>
      </c>
      <c r="D39" s="1">
        <v>113</v>
      </c>
      <c r="E39" s="1">
        <v>2</v>
      </c>
      <c r="F39" s="2">
        <f t="shared" si="0"/>
        <v>0</v>
      </c>
      <c r="G39" s="2">
        <f t="shared" si="0"/>
        <v>0</v>
      </c>
      <c r="H39" s="2">
        <f t="shared" si="1"/>
        <v>0</v>
      </c>
      <c r="I39" s="2">
        <f t="shared" si="1"/>
        <v>0</v>
      </c>
      <c r="J39" s="2">
        <f t="shared" si="2"/>
        <v>0</v>
      </c>
      <c r="K39" s="2">
        <f t="shared" si="3"/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2</v>
      </c>
    </row>
    <row r="40" spans="1:20" s="12" customFormat="1" ht="15" thickBot="1" x14ac:dyDescent="0.35">
      <c r="A40" s="12" t="s">
        <v>5</v>
      </c>
      <c r="B40" s="12" t="s">
        <v>29</v>
      </c>
      <c r="C40" s="13">
        <v>113</v>
      </c>
      <c r="D40" s="13">
        <v>112</v>
      </c>
      <c r="E40" s="13">
        <v>0</v>
      </c>
      <c r="F40" s="14">
        <f t="shared" si="0"/>
        <v>0</v>
      </c>
      <c r="G40" s="14">
        <f t="shared" si="0"/>
        <v>0</v>
      </c>
      <c r="H40" s="14">
        <f t="shared" si="1"/>
        <v>0</v>
      </c>
      <c r="I40" s="14">
        <f t="shared" si="1"/>
        <v>0</v>
      </c>
      <c r="J40" s="14">
        <f t="shared" si="2"/>
        <v>0</v>
      </c>
      <c r="K40" s="14">
        <f t="shared" si="3"/>
        <v>0</v>
      </c>
      <c r="L40" s="13">
        <v>0</v>
      </c>
      <c r="M40" s="13">
        <v>0</v>
      </c>
      <c r="N40" s="13">
        <v>0</v>
      </c>
      <c r="O40" s="13">
        <v>0</v>
      </c>
      <c r="P40" s="13">
        <v>0</v>
      </c>
      <c r="Q40" s="13">
        <v>0</v>
      </c>
      <c r="R40" s="13">
        <v>0</v>
      </c>
      <c r="S40" s="13">
        <v>0</v>
      </c>
      <c r="T40" s="13">
        <v>0</v>
      </c>
    </row>
    <row r="41" spans="1:20" s="7" customFormat="1" x14ac:dyDescent="0.3">
      <c r="A41" s="7" t="s">
        <v>54</v>
      </c>
      <c r="C41" s="11">
        <f>SUM(C29:C40)</f>
        <v>1346</v>
      </c>
      <c r="D41" s="11">
        <f t="shared" ref="D41:T41" si="5">SUM(D29:D40)</f>
        <v>1330</v>
      </c>
      <c r="E41" s="11">
        <f t="shared" si="5"/>
        <v>15</v>
      </c>
      <c r="F41" s="8">
        <f t="shared" si="5"/>
        <v>0</v>
      </c>
      <c r="G41" s="8">
        <f t="shared" si="5"/>
        <v>0</v>
      </c>
      <c r="H41" s="8">
        <f t="shared" si="5"/>
        <v>6</v>
      </c>
      <c r="I41" s="8">
        <f t="shared" si="5"/>
        <v>6</v>
      </c>
      <c r="J41" s="8">
        <f t="shared" si="5"/>
        <v>0</v>
      </c>
      <c r="K41" s="8">
        <f t="shared" si="5"/>
        <v>0</v>
      </c>
      <c r="L41" s="11">
        <f t="shared" si="5"/>
        <v>5</v>
      </c>
      <c r="M41" s="11">
        <f t="shared" si="5"/>
        <v>6</v>
      </c>
      <c r="N41" s="11">
        <f t="shared" si="5"/>
        <v>1</v>
      </c>
      <c r="O41" s="11">
        <f t="shared" si="5"/>
        <v>0</v>
      </c>
      <c r="P41" s="11">
        <f t="shared" si="5"/>
        <v>0</v>
      </c>
      <c r="Q41" s="11">
        <f t="shared" si="5"/>
        <v>0</v>
      </c>
      <c r="R41" s="11">
        <f t="shared" si="5"/>
        <v>0</v>
      </c>
      <c r="S41" s="11">
        <f t="shared" si="5"/>
        <v>0</v>
      </c>
      <c r="T41" s="11">
        <f t="shared" si="5"/>
        <v>4</v>
      </c>
    </row>
    <row r="43" spans="1:20" x14ac:dyDescent="0.3">
      <c r="F43" s="2" t="s">
        <v>40</v>
      </c>
      <c r="H43" s="2" t="s">
        <v>39</v>
      </c>
    </row>
    <row r="44" spans="1:20" x14ac:dyDescent="0.3">
      <c r="F44" s="2" t="s">
        <v>52</v>
      </c>
      <c r="H44" s="2" t="s">
        <v>53</v>
      </c>
    </row>
    <row r="46" spans="1:20" x14ac:dyDescent="0.3">
      <c r="C46" s="1" t="s">
        <v>37</v>
      </c>
      <c r="D46" s="1" t="s">
        <v>38</v>
      </c>
    </row>
    <row r="47" spans="1:20" x14ac:dyDescent="0.3">
      <c r="B47" t="s">
        <v>54</v>
      </c>
      <c r="C47" s="1">
        <f>SUM(C41,-F41,H41)</f>
        <v>1352</v>
      </c>
      <c r="D47" s="1">
        <f>SUM(D41,-G41,I41)</f>
        <v>1336</v>
      </c>
    </row>
    <row r="51" spans="2:4" x14ac:dyDescent="0.3">
      <c r="C51" s="1" t="s">
        <v>37</v>
      </c>
      <c r="D51" s="17" t="s">
        <v>38</v>
      </c>
    </row>
    <row r="52" spans="2:4" x14ac:dyDescent="0.3">
      <c r="B52" t="s">
        <v>55</v>
      </c>
      <c r="C52" s="16">
        <f>(C47-C41)/C47</f>
        <v>4.4378698224852072E-3</v>
      </c>
      <c r="D52" s="16">
        <f>(D47-D41)/D47</f>
        <v>4.4910179640718561E-3</v>
      </c>
    </row>
    <row r="53" spans="2:4" x14ac:dyDescent="0.3">
      <c r="B53" t="s">
        <v>56</v>
      </c>
      <c r="C53" s="16">
        <f>C41/C47</f>
        <v>0.99556213017751483</v>
      </c>
      <c r="D53" s="16">
        <f>D41/D47</f>
        <v>0.99550898203592819</v>
      </c>
    </row>
  </sheetData>
  <mergeCells count="6">
    <mergeCell ref="R1:S1"/>
    <mergeCell ref="F1:G1"/>
    <mergeCell ref="H1:I1"/>
    <mergeCell ref="L1:M1"/>
    <mergeCell ref="N1:O1"/>
    <mergeCell ref="P1:Q1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Old config</vt:lpstr>
      <vt:lpstr>With new 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Gerrald van Weelden</dc:creator>
  <cp:lastModifiedBy>Ruben Jochemsen</cp:lastModifiedBy>
  <dcterms:created xsi:type="dcterms:W3CDTF">2025-12-10T16:02:47Z</dcterms:created>
  <dcterms:modified xsi:type="dcterms:W3CDTF">2025-12-12T10:53:45Z</dcterms:modified>
</cp:coreProperties>
</file>