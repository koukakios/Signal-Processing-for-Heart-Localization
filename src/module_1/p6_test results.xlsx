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89f17094f69d9/_School/2024_TU Delft Bsc EE/2025-2026/Q2_EE2L1/Project/src/module_1/"/>
    </mc:Choice>
  </mc:AlternateContent>
  <xr:revisionPtr revIDLastSave="292" documentId="8_{FF6D4E3F-F320-4EC6-AC2B-1AEDDC2D4F1A}" xr6:coauthVersionLast="47" xr6:coauthVersionMax="47" xr10:uidLastSave="{FCF0660E-DC61-47ED-9FD8-454D9485BCF8}"/>
  <bookViews>
    <workbookView xWindow="-120" yWindow="-120" windowWidth="29040" windowHeight="17520" activeTab="1" xr2:uid="{27495DE4-06DE-42D5-9603-5AE5B78F0026}"/>
  </bookViews>
  <sheets>
    <sheet name="Old config" sheetId="1" r:id="rId1"/>
    <sheet name="With new 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" l="1"/>
  <c r="J26" i="2"/>
  <c r="I26" i="2"/>
  <c r="H26" i="2"/>
  <c r="G26" i="2"/>
  <c r="F26" i="2"/>
  <c r="K25" i="2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K22" i="2"/>
  <c r="J22" i="2"/>
  <c r="I22" i="2"/>
  <c r="H22" i="2"/>
  <c r="G22" i="2"/>
  <c r="F22" i="2"/>
  <c r="K21" i="2"/>
  <c r="J21" i="2"/>
  <c r="I21" i="2"/>
  <c r="H21" i="2"/>
  <c r="G21" i="2"/>
  <c r="F21" i="2"/>
  <c r="K20" i="2"/>
  <c r="J20" i="2"/>
  <c r="I20" i="2"/>
  <c r="H20" i="2"/>
  <c r="G20" i="2"/>
  <c r="F20" i="2"/>
  <c r="K19" i="2"/>
  <c r="J19" i="2"/>
  <c r="I19" i="2"/>
  <c r="H19" i="2"/>
  <c r="G19" i="2"/>
  <c r="F19" i="2"/>
  <c r="K18" i="2"/>
  <c r="J18" i="2"/>
  <c r="I18" i="2"/>
  <c r="H18" i="2"/>
  <c r="G18" i="2"/>
  <c r="F18" i="2"/>
  <c r="K17" i="2"/>
  <c r="J17" i="2"/>
  <c r="I17" i="2"/>
  <c r="H17" i="2"/>
  <c r="G17" i="2"/>
  <c r="F17" i="2"/>
  <c r="K16" i="2"/>
  <c r="J16" i="2"/>
  <c r="I16" i="2"/>
  <c r="H16" i="2"/>
  <c r="G16" i="2"/>
  <c r="F16" i="2"/>
  <c r="K15" i="2"/>
  <c r="J15" i="2"/>
  <c r="I15" i="2"/>
  <c r="H15" i="2"/>
  <c r="G15" i="2"/>
  <c r="F15" i="2"/>
  <c r="K14" i="2"/>
  <c r="J14" i="2"/>
  <c r="I14" i="2"/>
  <c r="H14" i="2"/>
  <c r="G14" i="2"/>
  <c r="F14" i="2"/>
  <c r="K13" i="2"/>
  <c r="J13" i="2"/>
  <c r="I13" i="2"/>
  <c r="H13" i="2"/>
  <c r="G13" i="2"/>
  <c r="F13" i="2"/>
  <c r="K12" i="2"/>
  <c r="J12" i="2"/>
  <c r="I12" i="2"/>
  <c r="H12" i="2"/>
  <c r="G12" i="2"/>
  <c r="F12" i="2"/>
  <c r="K11" i="2"/>
  <c r="J11" i="2"/>
  <c r="I11" i="2"/>
  <c r="H11" i="2"/>
  <c r="G11" i="2"/>
  <c r="F11" i="2"/>
  <c r="K10" i="2"/>
  <c r="J10" i="2"/>
  <c r="I10" i="2"/>
  <c r="H10" i="2"/>
  <c r="G10" i="2"/>
  <c r="F10" i="2"/>
  <c r="K9" i="2"/>
  <c r="J9" i="2"/>
  <c r="I9" i="2"/>
  <c r="H9" i="2"/>
  <c r="G9" i="2"/>
  <c r="F9" i="2"/>
  <c r="K8" i="2"/>
  <c r="J8" i="2"/>
  <c r="I8" i="2"/>
  <c r="H8" i="2"/>
  <c r="G8" i="2"/>
  <c r="F8" i="2"/>
  <c r="K7" i="2"/>
  <c r="J7" i="2"/>
  <c r="I7" i="2"/>
  <c r="H7" i="2"/>
  <c r="G7" i="2"/>
  <c r="F7" i="2"/>
  <c r="K6" i="2"/>
  <c r="J6" i="2"/>
  <c r="I6" i="2"/>
  <c r="H6" i="2"/>
  <c r="G6" i="2"/>
  <c r="F6" i="2"/>
  <c r="K5" i="2"/>
  <c r="J5" i="2"/>
  <c r="I5" i="2"/>
  <c r="H5" i="2"/>
  <c r="G5" i="2"/>
  <c r="F5" i="2"/>
  <c r="K4" i="2"/>
  <c r="J4" i="2"/>
  <c r="I4" i="2"/>
  <c r="H4" i="2"/>
  <c r="G4" i="2"/>
  <c r="F4" i="2"/>
  <c r="K3" i="2"/>
  <c r="J3" i="2"/>
  <c r="I3" i="2"/>
  <c r="H3" i="2"/>
  <c r="G3" i="2"/>
  <c r="F3" i="2"/>
  <c r="F4" i="1"/>
  <c r="G4" i="1"/>
  <c r="H4" i="1"/>
  <c r="I4" i="1"/>
  <c r="J4" i="1"/>
  <c r="K4" i="1"/>
  <c r="F5" i="1"/>
  <c r="G5" i="1"/>
  <c r="H5" i="1"/>
  <c r="I5" i="1"/>
  <c r="J5" i="1"/>
  <c r="K5" i="1"/>
  <c r="F6" i="1"/>
  <c r="G6" i="1"/>
  <c r="H6" i="1"/>
  <c r="I6" i="1"/>
  <c r="J6" i="1"/>
  <c r="K6" i="1"/>
  <c r="F7" i="1"/>
  <c r="G7" i="1"/>
  <c r="H7" i="1"/>
  <c r="I7" i="1"/>
  <c r="J7" i="1"/>
  <c r="K7" i="1"/>
  <c r="F8" i="1"/>
  <c r="G8" i="1"/>
  <c r="H8" i="1"/>
  <c r="I8" i="1"/>
  <c r="J8" i="1"/>
  <c r="K8" i="1"/>
  <c r="F9" i="1"/>
  <c r="G9" i="1"/>
  <c r="H9" i="1"/>
  <c r="I9" i="1"/>
  <c r="J9" i="1"/>
  <c r="K9" i="1"/>
  <c r="F10" i="1"/>
  <c r="G10" i="1"/>
  <c r="H10" i="1"/>
  <c r="I10" i="1"/>
  <c r="J10" i="1"/>
  <c r="K10" i="1"/>
  <c r="F11" i="1"/>
  <c r="G11" i="1"/>
  <c r="H11" i="1"/>
  <c r="I11" i="1"/>
  <c r="J11" i="1"/>
  <c r="K11" i="1"/>
  <c r="F12" i="1"/>
  <c r="G12" i="1"/>
  <c r="H12" i="1"/>
  <c r="I12" i="1"/>
  <c r="J12" i="1"/>
  <c r="K12" i="1"/>
  <c r="F13" i="1"/>
  <c r="G13" i="1"/>
  <c r="H13" i="1"/>
  <c r="I13" i="1"/>
  <c r="J13" i="1"/>
  <c r="K13" i="1"/>
  <c r="F14" i="1"/>
  <c r="G14" i="1"/>
  <c r="H14" i="1"/>
  <c r="I14" i="1"/>
  <c r="J14" i="1"/>
  <c r="K14" i="1"/>
  <c r="F15" i="1"/>
  <c r="G15" i="1"/>
  <c r="H15" i="1"/>
  <c r="I15" i="1"/>
  <c r="J15" i="1"/>
  <c r="K15" i="1"/>
  <c r="F16" i="1"/>
  <c r="G16" i="1"/>
  <c r="H16" i="1"/>
  <c r="I16" i="1"/>
  <c r="J16" i="1"/>
  <c r="K16" i="1"/>
  <c r="F17" i="1"/>
  <c r="G17" i="1"/>
  <c r="H17" i="1"/>
  <c r="I17" i="1"/>
  <c r="J17" i="1"/>
  <c r="K17" i="1"/>
  <c r="F18" i="1"/>
  <c r="G18" i="1"/>
  <c r="H18" i="1"/>
  <c r="I18" i="1"/>
  <c r="J18" i="1"/>
  <c r="K18" i="1"/>
  <c r="F19" i="1"/>
  <c r="G19" i="1"/>
  <c r="H19" i="1"/>
  <c r="I19" i="1"/>
  <c r="J19" i="1"/>
  <c r="K19" i="1"/>
  <c r="F20" i="1"/>
  <c r="G20" i="1"/>
  <c r="H20" i="1"/>
  <c r="I20" i="1"/>
  <c r="J20" i="1"/>
  <c r="K20" i="1"/>
  <c r="F21" i="1"/>
  <c r="G21" i="1"/>
  <c r="H21" i="1"/>
  <c r="I21" i="1"/>
  <c r="J21" i="1"/>
  <c r="K21" i="1"/>
  <c r="F22" i="1"/>
  <c r="G22" i="1"/>
  <c r="H22" i="1"/>
  <c r="I22" i="1"/>
  <c r="J22" i="1"/>
  <c r="K22" i="1"/>
  <c r="F23" i="1"/>
  <c r="G23" i="1"/>
  <c r="H23" i="1"/>
  <c r="I23" i="1"/>
  <c r="J23" i="1"/>
  <c r="K23" i="1"/>
  <c r="F24" i="1"/>
  <c r="G24" i="1"/>
  <c r="H24" i="1"/>
  <c r="I24" i="1"/>
  <c r="J24" i="1"/>
  <c r="K24" i="1"/>
  <c r="F25" i="1"/>
  <c r="G25" i="1"/>
  <c r="H25" i="1"/>
  <c r="I25" i="1"/>
  <c r="J25" i="1"/>
  <c r="K25" i="1"/>
  <c r="F26" i="1"/>
  <c r="G26" i="1"/>
  <c r="H26" i="1"/>
  <c r="I26" i="1"/>
  <c r="J26" i="1"/>
  <c r="K26" i="1"/>
  <c r="K3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<sst xmlns="http://schemas.openxmlformats.org/spreadsheetml/2006/main" count="157" uniqueCount="52">
  <si>
    <t>Folder</t>
  </si>
  <si>
    <t>File</t>
  </si>
  <si>
    <t>piezo_2_realHeart</t>
  </si>
  <si>
    <t>piezo_4_realHeart</t>
  </si>
  <si>
    <t>stethoscope_2_realHeart_</t>
  </si>
  <si>
    <t>stethoscope_5_realHeart_</t>
  </si>
  <si>
    <t>recording_2025-07-10_15-15-16_channel_1.wav</t>
  </si>
  <si>
    <t>recording_2025-07-10_15-15-16_channel_2.wav</t>
  </si>
  <si>
    <t>recording_2025-07-10_15-15-16_channel_3.wav</t>
  </si>
  <si>
    <t>recording_2025-07-10_15-15-16_channel_4.wav</t>
  </si>
  <si>
    <t>recording_2025-07-10_15-15-16_channel_5.wav</t>
  </si>
  <si>
    <t>recording_2025-07-10_15-15-17_channel_6.wav</t>
  </si>
  <si>
    <t>recording_2025-07-10_15-19-01_channel_1.wav</t>
  </si>
  <si>
    <t>recording_2025-07-10_15-19-01_channel_2.wav</t>
  </si>
  <si>
    <t>recording_2025-07-10_15-19-01_channel_3.wav</t>
  </si>
  <si>
    <t>recording_2025-07-10_15-19-01_channel_4.wav</t>
  </si>
  <si>
    <t>recording_2025-07-10_15-19-01_channel_5.wav</t>
  </si>
  <si>
    <t>recording_2025-07-10_15-19-01_channel_6.wav</t>
  </si>
  <si>
    <t>recording_2025-07-10_14-34-04_channel_1.wav</t>
  </si>
  <si>
    <t>recording_2025-07-10_14-34-04_channel_2.wav</t>
  </si>
  <si>
    <t>recording_2025-07-10_14-34-05_channel_3.wav</t>
  </si>
  <si>
    <t>recording_2025-07-10_14-34-05_channel_4.wav</t>
  </si>
  <si>
    <t>recording_2025-07-10_14-34-05_channel_5.wav</t>
  </si>
  <si>
    <t>recording_2025-07-10_14-34-05_channel_6.wav</t>
  </si>
  <si>
    <t>recording_2025-07-10_14-40-12_channel_1.wav</t>
  </si>
  <si>
    <t>recording_2025-07-10_14-40-13_channel_2.wav</t>
  </si>
  <si>
    <t>recording_2025-07-10_14-40-13_channel_3.wav</t>
  </si>
  <si>
    <t>recording_2025-07-10_14-40-13_channel_4.wav</t>
  </si>
  <si>
    <t>recording_2025-07-10_14-40-13_channel_5.wav</t>
  </si>
  <si>
    <t>recording_2025-07-10_14-40-13_channel_6.wav</t>
  </si>
  <si>
    <t>S1_count</t>
  </si>
  <si>
    <t>S2_count</t>
  </si>
  <si>
    <t>Uncertain</t>
  </si>
  <si>
    <t xml:space="preserve">S1 </t>
  </si>
  <si>
    <t xml:space="preserve">S2 </t>
  </si>
  <si>
    <t>False positive</t>
  </si>
  <si>
    <t>false negative</t>
  </si>
  <si>
    <t>S1</t>
  </si>
  <si>
    <t>S2</t>
  </si>
  <si>
    <t>Uncertain treated as missed</t>
  </si>
  <si>
    <t>hallucinated</t>
  </si>
  <si>
    <t>Uncertain at</t>
  </si>
  <si>
    <t>Nothing</t>
  </si>
  <si>
    <t>said peak but nothing</t>
  </si>
  <si>
    <t>said wrong peak</t>
  </si>
  <si>
    <t>S1 (said S2)</t>
  </si>
  <si>
    <t>S2(said S1)</t>
  </si>
  <si>
    <t>None</t>
  </si>
  <si>
    <t>Marked wrong</t>
  </si>
  <si>
    <t>S1 (was S2)</t>
  </si>
  <si>
    <t>S2 (was S1)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</si>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</sst>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</cellStyleXfs>
  <cellXfs count="7">
    <xf numFmtId="0" fontId="0" fillId="0" borderId="0" xfId="0"/>
    <xf numFmtId="0" fontId="2" fillId="3" borderId="1" xfId="2"/>
    <xf numFmtId="0" fontId="3" fillId="4" borderId="1" xfId="3"/>
    <xf numFmtId="0" fontId="1" fillId="2" borderId="0" xfId="1"/>
    <xf numFmtId="0" fontId="1" fillId="2" borderId="1" xfId="1" applyBorder="1"/>
    <xf numFmtId="0" fontId="2" fillId="3" borderId="1" xfId="2" applyAlignment="1">
      <alignment horizontal="center"/>
    </xf>
    <xf numFmtId="0" fontId="3" fillId="4" borderId="1" xfId="3" applyAlignment="1">
      <alignment horizontal="center"/>
    </xf>
  </cellXfs>
  <cellStyles count="4">
    <cellStyle name="Bad" xfId="1" builtinId="27"/>
    <cellStyle name="Calculation" xfId="3" builtinId="22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7B7-F6EF-4B14-A867-A755A267B47C}">
  <dimension ref="A1:U28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U7" sqref="U7"/>
    </sheetView>
  </sheetViews>
  <sheetFormatPr defaultRowHeight="15" x14ac:dyDescent="0.25"/>
  <cols>
    <col min="1" max="1" width="23.85546875" bestFit="1" customWidth="1"/>
    <col min="2" max="2" width="43" bestFit="1" customWidth="1"/>
    <col min="3" max="5" width="9.140625" style="1"/>
    <col min="6" max="11" width="9.140625" style="2"/>
    <col min="12" max="17" width="9.140625" style="1"/>
    <col min="18" max="18" width="11.140625" style="1" bestFit="1" customWidth="1"/>
    <col min="19" max="19" width="10.7109375" style="1" bestFit="1" customWidth="1"/>
    <col min="20" max="20" width="9.140625" style="1"/>
  </cols>
  <sheetData>
    <row r="1" spans="1:21" x14ac:dyDescent="0.25">
      <c r="F1" s="6" t="s">
        <v>35</v>
      </c>
      <c r="G1" s="6"/>
      <c r="H1" s="6" t="s">
        <v>36</v>
      </c>
      <c r="I1" s="6"/>
      <c r="J1" s="2" t="s">
        <v>48</v>
      </c>
      <c r="L1" s="5" t="s">
        <v>41</v>
      </c>
      <c r="M1" s="5"/>
      <c r="N1" s="5" t="s">
        <v>42</v>
      </c>
      <c r="O1" s="5"/>
      <c r="P1" s="5" t="s">
        <v>43</v>
      </c>
      <c r="Q1" s="5"/>
      <c r="R1" s="5" t="s">
        <v>44</v>
      </c>
      <c r="S1" s="5"/>
      <c r="T1" s="1" t="s">
        <v>41</v>
      </c>
    </row>
    <row r="2" spans="1:21" x14ac:dyDescent="0.25">
      <c r="A2" t="s">
        <v>0</v>
      </c>
      <c r="B2" t="s">
        <v>1</v>
      </c>
      <c r="C2" s="1" t="s">
        <v>30</v>
      </c>
      <c r="D2" s="1" t="s">
        <v>31</v>
      </c>
      <c r="E2" s="1" t="s">
        <v>32</v>
      </c>
      <c r="F2" s="2" t="s">
        <v>33</v>
      </c>
      <c r="G2" s="2" t="s">
        <v>34</v>
      </c>
      <c r="H2" s="2" t="s">
        <v>37</v>
      </c>
      <c r="I2" s="2" t="s">
        <v>38</v>
      </c>
      <c r="J2" s="2" t="s">
        <v>49</v>
      </c>
      <c r="K2" s="2" t="s">
        <v>50</v>
      </c>
      <c r="L2" s="1" t="s">
        <v>37</v>
      </c>
      <c r="M2" s="1" t="s">
        <v>38</v>
      </c>
      <c r="N2" s="1" t="s">
        <v>37</v>
      </c>
      <c r="O2" s="1" t="s">
        <v>38</v>
      </c>
      <c r="P2" s="1" t="s">
        <v>37</v>
      </c>
      <c r="Q2" s="1" t="s">
        <v>38</v>
      </c>
      <c r="R2" s="1" t="s">
        <v>45</v>
      </c>
      <c r="S2" s="1" t="s">
        <v>46</v>
      </c>
      <c r="T2" s="1" t="s">
        <v>47</v>
      </c>
    </row>
    <row r="3" spans="1:21" x14ac:dyDescent="0.25">
      <c r="A3" t="s">
        <v>2</v>
      </c>
      <c r="B3" t="s">
        <v>6</v>
      </c>
      <c r="C3" s="1">
        <v>109</v>
      </c>
      <c r="D3" s="1">
        <v>98</v>
      </c>
      <c r="E3" s="1">
        <v>22</v>
      </c>
      <c r="F3" s="2">
        <f>P3</f>
        <v>0</v>
      </c>
      <c r="G3" s="2">
        <f>Q3</f>
        <v>0</v>
      </c>
      <c r="H3" s="2">
        <f>L3+N3</f>
        <v>10</v>
      </c>
      <c r="I3" s="2">
        <f>M3+O3</f>
        <v>7</v>
      </c>
      <c r="J3" s="2">
        <f>S3</f>
        <v>0</v>
      </c>
      <c r="K3" s="2">
        <f>R3</f>
        <v>0</v>
      </c>
      <c r="L3" s="1">
        <v>9</v>
      </c>
      <c r="M3" s="1">
        <v>7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</v>
      </c>
    </row>
    <row r="4" spans="1:21" x14ac:dyDescent="0.25">
      <c r="A4" t="s">
        <v>2</v>
      </c>
      <c r="B4" t="s">
        <v>7</v>
      </c>
      <c r="C4" s="1">
        <v>235</v>
      </c>
      <c r="D4" s="1">
        <v>205</v>
      </c>
      <c r="E4" s="1">
        <v>14</v>
      </c>
      <c r="F4" s="2">
        <f t="shared" ref="F4:F26" si="0">P4</f>
        <v>0</v>
      </c>
      <c r="G4" s="2">
        <f t="shared" ref="G4:G26" si="1">Q4</f>
        <v>0</v>
      </c>
      <c r="H4" s="2">
        <f t="shared" ref="H4:H26" si="2">L4+N4</f>
        <v>0</v>
      </c>
      <c r="I4" s="2">
        <f t="shared" ref="I4:I26" si="3">M4+O4</f>
        <v>0</v>
      </c>
      <c r="J4" s="2">
        <f t="shared" ref="J4:J26" si="4">S4</f>
        <v>0</v>
      </c>
      <c r="K4" s="2">
        <f t="shared" ref="K4:K26" si="5">R4</f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14</v>
      </c>
    </row>
    <row r="5" spans="1:21" x14ac:dyDescent="0.25">
      <c r="A5" t="s">
        <v>2</v>
      </c>
      <c r="B5" t="s">
        <v>8</v>
      </c>
      <c r="C5" s="1">
        <v>104</v>
      </c>
      <c r="D5" s="1">
        <v>103</v>
      </c>
      <c r="E5" s="1">
        <v>2</v>
      </c>
      <c r="F5" s="2">
        <f t="shared" si="0"/>
        <v>0</v>
      </c>
      <c r="G5" s="2">
        <f t="shared" si="1"/>
        <v>0</v>
      </c>
      <c r="H5" s="2">
        <f t="shared" si="2"/>
        <v>0</v>
      </c>
      <c r="I5" s="2">
        <f t="shared" si="3"/>
        <v>0</v>
      </c>
      <c r="J5" s="2">
        <f t="shared" si="4"/>
        <v>0</v>
      </c>
      <c r="K5" s="2">
        <f t="shared" si="5"/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</v>
      </c>
    </row>
    <row r="6" spans="1:21" s="3" customFormat="1" x14ac:dyDescent="0.25">
      <c r="A6" s="3" t="s">
        <v>2</v>
      </c>
      <c r="B6" s="3" t="s">
        <v>9</v>
      </c>
      <c r="C6" s="4"/>
      <c r="D6" s="4"/>
      <c r="E6" s="4"/>
      <c r="F6" s="4">
        <f t="shared" si="0"/>
        <v>0</v>
      </c>
      <c r="G6" s="4">
        <f t="shared" si="1"/>
        <v>0</v>
      </c>
      <c r="H6" s="4">
        <f t="shared" si="2"/>
        <v>0</v>
      </c>
      <c r="I6" s="4">
        <f t="shared" si="3"/>
        <v>0</v>
      </c>
      <c r="J6" s="4">
        <f t="shared" si="4"/>
        <v>0</v>
      </c>
      <c r="K6" s="4">
        <f t="shared" si="5"/>
        <v>0</v>
      </c>
      <c r="L6" s="4"/>
      <c r="M6" s="4"/>
      <c r="N6" s="4"/>
      <c r="O6" s="4"/>
      <c r="P6" s="4"/>
      <c r="Q6" s="4"/>
      <c r="R6" s="4"/>
      <c r="S6" s="4"/>
      <c r="T6" s="4"/>
      <c r="U6" s="3" t="s">
        <v>51</v>
      </c>
    </row>
    <row r="7" spans="1:21" x14ac:dyDescent="0.25">
      <c r="A7" t="s">
        <v>2</v>
      </c>
      <c r="B7" t="s">
        <v>10</v>
      </c>
      <c r="F7" s="2">
        <f t="shared" si="0"/>
        <v>0</v>
      </c>
      <c r="G7" s="2">
        <f t="shared" si="1"/>
        <v>0</v>
      </c>
      <c r="H7" s="2">
        <f t="shared" si="2"/>
        <v>0</v>
      </c>
      <c r="I7" s="2">
        <f t="shared" si="3"/>
        <v>0</v>
      </c>
      <c r="J7" s="2">
        <f t="shared" si="4"/>
        <v>0</v>
      </c>
      <c r="K7" s="2">
        <f t="shared" si="5"/>
        <v>0</v>
      </c>
    </row>
    <row r="8" spans="1:21" x14ac:dyDescent="0.25">
      <c r="A8" t="s">
        <v>2</v>
      </c>
      <c r="B8" t="s">
        <v>11</v>
      </c>
      <c r="F8" s="2">
        <f t="shared" si="0"/>
        <v>0</v>
      </c>
      <c r="G8" s="2">
        <f t="shared" si="1"/>
        <v>0</v>
      </c>
      <c r="H8" s="2">
        <f t="shared" si="2"/>
        <v>0</v>
      </c>
      <c r="I8" s="2">
        <f t="shared" si="3"/>
        <v>0</v>
      </c>
      <c r="J8" s="2">
        <f t="shared" si="4"/>
        <v>0</v>
      </c>
      <c r="K8" s="2">
        <f t="shared" si="5"/>
        <v>0</v>
      </c>
    </row>
    <row r="9" spans="1:21" x14ac:dyDescent="0.25">
      <c r="A9" t="s">
        <v>3</v>
      </c>
      <c r="B9" t="s">
        <v>12</v>
      </c>
      <c r="F9" s="2">
        <f t="shared" si="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0</v>
      </c>
      <c r="K9" s="2">
        <f t="shared" si="5"/>
        <v>0</v>
      </c>
    </row>
    <row r="10" spans="1:21" x14ac:dyDescent="0.25">
      <c r="A10" t="s">
        <v>3</v>
      </c>
      <c r="B10" t="s">
        <v>13</v>
      </c>
      <c r="F10" s="2">
        <f t="shared" si="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0</v>
      </c>
      <c r="K10" s="2">
        <f t="shared" si="5"/>
        <v>0</v>
      </c>
    </row>
    <row r="11" spans="1:21" x14ac:dyDescent="0.25">
      <c r="A11" t="s">
        <v>3</v>
      </c>
      <c r="B11" t="s">
        <v>14</v>
      </c>
      <c r="F11" s="2">
        <f t="shared" si="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0</v>
      </c>
      <c r="K11" s="2">
        <f t="shared" si="5"/>
        <v>0</v>
      </c>
    </row>
    <row r="12" spans="1:21" x14ac:dyDescent="0.25">
      <c r="A12" t="s">
        <v>3</v>
      </c>
      <c r="B12" t="s">
        <v>15</v>
      </c>
      <c r="F12" s="2">
        <f t="shared" si="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0</v>
      </c>
      <c r="K12" s="2">
        <f t="shared" si="5"/>
        <v>0</v>
      </c>
    </row>
    <row r="13" spans="1:21" x14ac:dyDescent="0.25">
      <c r="A13" t="s">
        <v>3</v>
      </c>
      <c r="B13" t="s">
        <v>16</v>
      </c>
      <c r="F13" s="2">
        <f t="shared" si="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0</v>
      </c>
      <c r="K13" s="2">
        <f t="shared" si="5"/>
        <v>0</v>
      </c>
    </row>
    <row r="14" spans="1:21" x14ac:dyDescent="0.25">
      <c r="A14" t="s">
        <v>3</v>
      </c>
      <c r="B14" t="s">
        <v>17</v>
      </c>
      <c r="F14" s="2">
        <f t="shared" si="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0</v>
      </c>
      <c r="K14" s="2">
        <f t="shared" si="5"/>
        <v>0</v>
      </c>
    </row>
    <row r="15" spans="1:21" x14ac:dyDescent="0.25">
      <c r="A15" t="s">
        <v>4</v>
      </c>
      <c r="B15" t="s">
        <v>18</v>
      </c>
      <c r="F15" s="2">
        <f t="shared" si="0"/>
        <v>0</v>
      </c>
      <c r="G15" s="2">
        <f t="shared" si="1"/>
        <v>0</v>
      </c>
      <c r="H15" s="2">
        <f t="shared" si="2"/>
        <v>0</v>
      </c>
      <c r="I15" s="2">
        <f t="shared" si="3"/>
        <v>0</v>
      </c>
      <c r="J15" s="2">
        <f t="shared" si="4"/>
        <v>0</v>
      </c>
      <c r="K15" s="2">
        <f t="shared" si="5"/>
        <v>0</v>
      </c>
    </row>
    <row r="16" spans="1:21" x14ac:dyDescent="0.25">
      <c r="A16" t="s">
        <v>4</v>
      </c>
      <c r="B16" t="s">
        <v>19</v>
      </c>
      <c r="F16" s="2">
        <f t="shared" si="0"/>
        <v>0</v>
      </c>
      <c r="G16" s="2">
        <f t="shared" si="1"/>
        <v>0</v>
      </c>
      <c r="H16" s="2">
        <f t="shared" si="2"/>
        <v>0</v>
      </c>
      <c r="I16" s="2">
        <f t="shared" si="3"/>
        <v>0</v>
      </c>
      <c r="J16" s="2">
        <f t="shared" si="4"/>
        <v>0</v>
      </c>
      <c r="K16" s="2">
        <f t="shared" si="5"/>
        <v>0</v>
      </c>
    </row>
    <row r="17" spans="1:11" x14ac:dyDescent="0.25">
      <c r="A17" t="s">
        <v>4</v>
      </c>
      <c r="B17" t="s">
        <v>20</v>
      </c>
      <c r="F17" s="2">
        <f t="shared" si="0"/>
        <v>0</v>
      </c>
      <c r="G17" s="2">
        <f t="shared" si="1"/>
        <v>0</v>
      </c>
      <c r="H17" s="2">
        <f t="shared" si="2"/>
        <v>0</v>
      </c>
      <c r="I17" s="2">
        <f t="shared" si="3"/>
        <v>0</v>
      </c>
      <c r="J17" s="2">
        <f t="shared" si="4"/>
        <v>0</v>
      </c>
      <c r="K17" s="2">
        <f t="shared" si="5"/>
        <v>0</v>
      </c>
    </row>
    <row r="18" spans="1:11" x14ac:dyDescent="0.25">
      <c r="A18" t="s">
        <v>4</v>
      </c>
      <c r="B18" t="s">
        <v>21</v>
      </c>
      <c r="F18" s="2">
        <f t="shared" si="0"/>
        <v>0</v>
      </c>
      <c r="G18" s="2">
        <f t="shared" si="1"/>
        <v>0</v>
      </c>
      <c r="H18" s="2">
        <f t="shared" si="2"/>
        <v>0</v>
      </c>
      <c r="I18" s="2">
        <f t="shared" si="3"/>
        <v>0</v>
      </c>
      <c r="J18" s="2">
        <f t="shared" si="4"/>
        <v>0</v>
      </c>
      <c r="K18" s="2">
        <f t="shared" si="5"/>
        <v>0</v>
      </c>
    </row>
    <row r="19" spans="1:11" x14ac:dyDescent="0.25">
      <c r="A19" t="s">
        <v>4</v>
      </c>
      <c r="B19" t="s">
        <v>22</v>
      </c>
      <c r="F19" s="2">
        <f t="shared" si="0"/>
        <v>0</v>
      </c>
      <c r="G19" s="2">
        <f t="shared" si="1"/>
        <v>0</v>
      </c>
      <c r="H19" s="2">
        <f t="shared" si="2"/>
        <v>0</v>
      </c>
      <c r="I19" s="2">
        <f t="shared" si="3"/>
        <v>0</v>
      </c>
      <c r="J19" s="2">
        <f t="shared" si="4"/>
        <v>0</v>
      </c>
      <c r="K19" s="2">
        <f t="shared" si="5"/>
        <v>0</v>
      </c>
    </row>
    <row r="20" spans="1:11" x14ac:dyDescent="0.25">
      <c r="A20" t="s">
        <v>4</v>
      </c>
      <c r="B20" t="s">
        <v>23</v>
      </c>
      <c r="F20" s="2">
        <f t="shared" si="0"/>
        <v>0</v>
      </c>
      <c r="G20" s="2">
        <f t="shared" si="1"/>
        <v>0</v>
      </c>
      <c r="H20" s="2">
        <f t="shared" si="2"/>
        <v>0</v>
      </c>
      <c r="I20" s="2">
        <f t="shared" si="3"/>
        <v>0</v>
      </c>
      <c r="J20" s="2">
        <f t="shared" si="4"/>
        <v>0</v>
      </c>
      <c r="K20" s="2">
        <f t="shared" si="5"/>
        <v>0</v>
      </c>
    </row>
    <row r="21" spans="1:11" x14ac:dyDescent="0.25">
      <c r="A21" t="s">
        <v>5</v>
      </c>
      <c r="B21" t="s">
        <v>24</v>
      </c>
      <c r="F21" s="2">
        <f t="shared" si="0"/>
        <v>0</v>
      </c>
      <c r="G21" s="2">
        <f t="shared" si="1"/>
        <v>0</v>
      </c>
      <c r="H21" s="2">
        <f t="shared" si="2"/>
        <v>0</v>
      </c>
      <c r="I21" s="2">
        <f t="shared" si="3"/>
        <v>0</v>
      </c>
      <c r="J21" s="2">
        <f t="shared" si="4"/>
        <v>0</v>
      </c>
      <c r="K21" s="2">
        <f t="shared" si="5"/>
        <v>0</v>
      </c>
    </row>
    <row r="22" spans="1:11" x14ac:dyDescent="0.25">
      <c r="A22" t="s">
        <v>5</v>
      </c>
      <c r="B22" t="s">
        <v>25</v>
      </c>
      <c r="F22" s="2">
        <f t="shared" si="0"/>
        <v>0</v>
      </c>
      <c r="G22" s="2">
        <f t="shared" si="1"/>
        <v>0</v>
      </c>
      <c r="H22" s="2">
        <f t="shared" si="2"/>
        <v>0</v>
      </c>
      <c r="I22" s="2">
        <f t="shared" si="3"/>
        <v>0</v>
      </c>
      <c r="J22" s="2">
        <f t="shared" si="4"/>
        <v>0</v>
      </c>
      <c r="K22" s="2">
        <f t="shared" si="5"/>
        <v>0</v>
      </c>
    </row>
    <row r="23" spans="1:11" x14ac:dyDescent="0.25">
      <c r="A23" t="s">
        <v>5</v>
      </c>
      <c r="B23" t="s">
        <v>26</v>
      </c>
      <c r="F23" s="2">
        <f t="shared" si="0"/>
        <v>0</v>
      </c>
      <c r="G23" s="2">
        <f t="shared" si="1"/>
        <v>0</v>
      </c>
      <c r="H23" s="2">
        <f t="shared" si="2"/>
        <v>0</v>
      </c>
      <c r="I23" s="2">
        <f t="shared" si="3"/>
        <v>0</v>
      </c>
      <c r="J23" s="2">
        <f t="shared" si="4"/>
        <v>0</v>
      </c>
      <c r="K23" s="2">
        <f t="shared" si="5"/>
        <v>0</v>
      </c>
    </row>
    <row r="24" spans="1:11" x14ac:dyDescent="0.25">
      <c r="A24" t="s">
        <v>5</v>
      </c>
      <c r="B24" t="s">
        <v>27</v>
      </c>
      <c r="F24" s="2">
        <f t="shared" si="0"/>
        <v>0</v>
      </c>
      <c r="G24" s="2">
        <f t="shared" si="1"/>
        <v>0</v>
      </c>
      <c r="H24" s="2">
        <f t="shared" si="2"/>
        <v>0</v>
      </c>
      <c r="I24" s="2">
        <f t="shared" si="3"/>
        <v>0</v>
      </c>
      <c r="J24" s="2">
        <f t="shared" si="4"/>
        <v>0</v>
      </c>
      <c r="K24" s="2">
        <f t="shared" si="5"/>
        <v>0</v>
      </c>
    </row>
    <row r="25" spans="1:11" x14ac:dyDescent="0.25">
      <c r="A25" t="s">
        <v>5</v>
      </c>
      <c r="B25" t="s">
        <v>28</v>
      </c>
      <c r="F25" s="2">
        <f t="shared" si="0"/>
        <v>0</v>
      </c>
      <c r="G25" s="2">
        <f t="shared" si="1"/>
        <v>0</v>
      </c>
      <c r="H25" s="2">
        <f t="shared" si="2"/>
        <v>0</v>
      </c>
      <c r="I25" s="2">
        <f t="shared" si="3"/>
        <v>0</v>
      </c>
      <c r="J25" s="2">
        <f t="shared" si="4"/>
        <v>0</v>
      </c>
      <c r="K25" s="2">
        <f t="shared" si="5"/>
        <v>0</v>
      </c>
    </row>
    <row r="26" spans="1:11" x14ac:dyDescent="0.25">
      <c r="A26" t="s">
        <v>5</v>
      </c>
      <c r="B26" t="s">
        <v>29</v>
      </c>
      <c r="F26" s="2">
        <f t="shared" si="0"/>
        <v>0</v>
      </c>
      <c r="G26" s="2">
        <f t="shared" si="1"/>
        <v>0</v>
      </c>
      <c r="H26" s="2">
        <f t="shared" si="2"/>
        <v>0</v>
      </c>
      <c r="I26" s="2">
        <f t="shared" si="3"/>
        <v>0</v>
      </c>
      <c r="J26" s="2">
        <f t="shared" si="4"/>
        <v>0</v>
      </c>
      <c r="K26" s="2">
        <f t="shared" si="5"/>
        <v>0</v>
      </c>
    </row>
    <row r="28" spans="1:11" x14ac:dyDescent="0.25">
      <c r="F28" s="2" t="s">
        <v>40</v>
      </c>
      <c r="H28" s="2" t="s">
        <v>39</v>
      </c>
    </row>
  </sheetData>
  <mergeCells count="6">
    <mergeCell ref="R1:S1"/>
    <mergeCell ref="F1:G1"/>
    <mergeCell ref="H1:I1"/>
    <mergeCell ref="L1:M1"/>
    <mergeCell ref="N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D275-F070-4BE2-8B55-94F930913A2C}">
  <dimension ref="A1:T28"/>
  <sheetViews>
    <sheetView tabSelected="1" zoomScale="145" zoomScaleNormal="14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defaultRowHeight="15" x14ac:dyDescent="0.25"/>
  <cols>
    <col min="1" max="1" width="23.85546875" bestFit="1" customWidth="1"/>
    <col min="2" max="2" width="43" bestFit="1" customWidth="1"/>
    <col min="3" max="5" width="9.140625" style="1"/>
    <col min="6" max="11" width="9.140625" style="2"/>
    <col min="12" max="17" width="9.140625" style="1"/>
    <col min="18" max="18" width="11.140625" style="1" bestFit="1" customWidth="1"/>
    <col min="19" max="19" width="10.7109375" style="1" bestFit="1" customWidth="1"/>
    <col min="20" max="20" width="9.140625" style="1"/>
  </cols>
  <sheetData>
    <row r="1" spans="1:20" x14ac:dyDescent="0.25">
      <c r="F1" s="6" t="s">
        <v>35</v>
      </c>
      <c r="G1" s="6"/>
      <c r="H1" s="6" t="s">
        <v>36</v>
      </c>
      <c r="I1" s="6"/>
      <c r="J1" s="2" t="s">
        <v>48</v>
      </c>
      <c r="L1" s="5" t="s">
        <v>41</v>
      </c>
      <c r="M1" s="5"/>
      <c r="N1" s="5" t="s">
        <v>42</v>
      </c>
      <c r="O1" s="5"/>
      <c r="P1" s="5" t="s">
        <v>43</v>
      </c>
      <c r="Q1" s="5"/>
      <c r="R1" s="5" t="s">
        <v>44</v>
      </c>
      <c r="S1" s="5"/>
      <c r="T1" s="1" t="s">
        <v>41</v>
      </c>
    </row>
    <row r="2" spans="1:20" x14ac:dyDescent="0.25">
      <c r="A2" t="s">
        <v>0</v>
      </c>
      <c r="B2" t="s">
        <v>1</v>
      </c>
      <c r="C2" s="1" t="s">
        <v>30</v>
      </c>
      <c r="D2" s="1" t="s">
        <v>31</v>
      </c>
      <c r="E2" s="1" t="s">
        <v>32</v>
      </c>
      <c r="F2" s="2" t="s">
        <v>33</v>
      </c>
      <c r="G2" s="2" t="s">
        <v>34</v>
      </c>
      <c r="H2" s="2" t="s">
        <v>37</v>
      </c>
      <c r="I2" s="2" t="s">
        <v>38</v>
      </c>
      <c r="J2" s="2" t="s">
        <v>49</v>
      </c>
      <c r="K2" s="2" t="s">
        <v>50</v>
      </c>
      <c r="L2" s="1" t="s">
        <v>37</v>
      </c>
      <c r="M2" s="1" t="s">
        <v>38</v>
      </c>
      <c r="N2" s="1" t="s">
        <v>37</v>
      </c>
      <c r="O2" s="1" t="s">
        <v>38</v>
      </c>
      <c r="P2" s="1" t="s">
        <v>37</v>
      </c>
      <c r="Q2" s="1" t="s">
        <v>38</v>
      </c>
      <c r="R2" s="1" t="s">
        <v>45</v>
      </c>
      <c r="S2" s="1" t="s">
        <v>46</v>
      </c>
      <c r="T2" s="1" t="s">
        <v>47</v>
      </c>
    </row>
    <row r="3" spans="1:20" x14ac:dyDescent="0.25">
      <c r="A3" t="s">
        <v>2</v>
      </c>
      <c r="B3" t="s">
        <v>6</v>
      </c>
      <c r="C3" s="1">
        <v>120</v>
      </c>
      <c r="D3" s="1">
        <v>104</v>
      </c>
      <c r="E3" s="1">
        <v>20</v>
      </c>
      <c r="F3" s="2">
        <f>P3</f>
        <v>1</v>
      </c>
      <c r="G3" s="2">
        <f>Q3</f>
        <v>0</v>
      </c>
      <c r="H3" s="2">
        <f>L3+N3</f>
        <v>8</v>
      </c>
      <c r="I3" s="2">
        <f>M3+O3</f>
        <v>8</v>
      </c>
      <c r="J3" s="2">
        <f>S3</f>
        <v>0</v>
      </c>
      <c r="K3" s="2">
        <f>R3</f>
        <v>0</v>
      </c>
      <c r="L3" s="1">
        <v>8</v>
      </c>
      <c r="M3" s="1">
        <v>8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6</v>
      </c>
    </row>
    <row r="4" spans="1:20" x14ac:dyDescent="0.25">
      <c r="A4" t="s">
        <v>2</v>
      </c>
      <c r="B4" t="s">
        <v>7</v>
      </c>
      <c r="C4" s="1">
        <v>109</v>
      </c>
      <c r="D4" s="1">
        <v>90</v>
      </c>
      <c r="E4" s="1">
        <v>21</v>
      </c>
      <c r="F4" s="2">
        <f t="shared" ref="F4:G26" si="0">P4</f>
        <v>0</v>
      </c>
      <c r="G4" s="2">
        <f t="shared" si="0"/>
        <v>1</v>
      </c>
      <c r="H4" s="2">
        <f t="shared" ref="H4:I26" si="1">L4+N4</f>
        <v>10</v>
      </c>
      <c r="I4" s="2">
        <f t="shared" si="1"/>
        <v>15</v>
      </c>
      <c r="J4" s="2">
        <f t="shared" ref="J4:J26" si="2">S4</f>
        <v>0</v>
      </c>
      <c r="K4" s="2">
        <f t="shared" ref="K4:K26" si="3">R4</f>
        <v>0</v>
      </c>
      <c r="L4" s="1">
        <v>1</v>
      </c>
      <c r="M4" s="1">
        <v>6</v>
      </c>
      <c r="N4" s="1">
        <v>9</v>
      </c>
      <c r="O4" s="1">
        <v>9</v>
      </c>
      <c r="P4" s="1">
        <v>0</v>
      </c>
      <c r="Q4" s="1">
        <v>1</v>
      </c>
      <c r="R4" s="1">
        <v>0</v>
      </c>
      <c r="S4" s="1">
        <v>0</v>
      </c>
      <c r="T4" s="1">
        <v>11</v>
      </c>
    </row>
    <row r="5" spans="1:20" x14ac:dyDescent="0.25">
      <c r="A5" t="s">
        <v>2</v>
      </c>
      <c r="B5" t="s">
        <v>8</v>
      </c>
      <c r="C5" s="1">
        <v>104</v>
      </c>
      <c r="D5" s="1">
        <v>103</v>
      </c>
      <c r="E5" s="1">
        <v>2</v>
      </c>
      <c r="F5" s="2">
        <f t="shared" si="0"/>
        <v>0</v>
      </c>
      <c r="G5" s="2">
        <f t="shared" si="0"/>
        <v>0</v>
      </c>
      <c r="H5" s="2">
        <f t="shared" si="1"/>
        <v>0</v>
      </c>
      <c r="I5" s="2">
        <f t="shared" si="1"/>
        <v>0</v>
      </c>
      <c r="J5" s="2">
        <f t="shared" si="2"/>
        <v>0</v>
      </c>
      <c r="K5" s="2">
        <f t="shared" si="3"/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</v>
      </c>
    </row>
    <row r="6" spans="1:20" x14ac:dyDescent="0.25">
      <c r="A6" t="s">
        <v>2</v>
      </c>
      <c r="B6" t="s">
        <v>9</v>
      </c>
      <c r="C6" s="1">
        <v>95</v>
      </c>
      <c r="D6" s="1">
        <v>93</v>
      </c>
      <c r="E6" s="1">
        <v>12</v>
      </c>
      <c r="F6" s="2">
        <f t="shared" si="0"/>
        <v>0</v>
      </c>
      <c r="G6" s="2">
        <f t="shared" si="0"/>
        <v>0</v>
      </c>
      <c r="H6" s="2">
        <f t="shared" si="1"/>
        <v>4</v>
      </c>
      <c r="I6" s="2">
        <f t="shared" si="1"/>
        <v>8</v>
      </c>
      <c r="J6" s="2">
        <f t="shared" si="2"/>
        <v>0</v>
      </c>
      <c r="K6" s="2">
        <f t="shared" si="3"/>
        <v>0</v>
      </c>
      <c r="L6" s="1">
        <v>4</v>
      </c>
      <c r="M6" s="1">
        <v>8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25">
      <c r="A7" t="s">
        <v>2</v>
      </c>
      <c r="B7" t="s">
        <v>10</v>
      </c>
      <c r="C7" s="1">
        <v>100</v>
      </c>
      <c r="D7" s="1">
        <v>100</v>
      </c>
      <c r="E7" s="1">
        <v>0</v>
      </c>
      <c r="F7" s="2">
        <f t="shared" si="0"/>
        <v>0</v>
      </c>
      <c r="G7" s="2">
        <f t="shared" si="0"/>
        <v>0</v>
      </c>
      <c r="H7" s="2">
        <f t="shared" si="1"/>
        <v>0</v>
      </c>
      <c r="I7" s="2">
        <f t="shared" si="1"/>
        <v>0</v>
      </c>
      <c r="J7" s="2">
        <f t="shared" si="2"/>
        <v>0</v>
      </c>
      <c r="K7" s="2">
        <f t="shared" si="3"/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s="3" customFormat="1" x14ac:dyDescent="0.25">
      <c r="A8" s="3" t="s">
        <v>2</v>
      </c>
      <c r="B8" s="3" t="s">
        <v>11</v>
      </c>
      <c r="C8" s="4"/>
      <c r="D8" s="4"/>
      <c r="E8" s="4"/>
      <c r="F8" s="4">
        <f t="shared" si="0"/>
        <v>0</v>
      </c>
      <c r="G8" s="4">
        <f t="shared" si="0"/>
        <v>0</v>
      </c>
      <c r="H8" s="4">
        <f t="shared" si="1"/>
        <v>0</v>
      </c>
      <c r="I8" s="4">
        <f t="shared" si="1"/>
        <v>0</v>
      </c>
      <c r="J8" s="4">
        <f t="shared" si="2"/>
        <v>0</v>
      </c>
      <c r="K8" s="4">
        <f t="shared" si="3"/>
        <v>0</v>
      </c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t="s">
        <v>3</v>
      </c>
      <c r="B9" t="s">
        <v>12</v>
      </c>
      <c r="C9" s="1">
        <v>108</v>
      </c>
      <c r="D9" s="1">
        <v>104</v>
      </c>
      <c r="E9" s="1">
        <v>6</v>
      </c>
      <c r="F9" s="2">
        <f t="shared" si="0"/>
        <v>0</v>
      </c>
      <c r="G9" s="2">
        <f t="shared" si="0"/>
        <v>0</v>
      </c>
      <c r="H9" s="2">
        <f t="shared" si="1"/>
        <v>1</v>
      </c>
      <c r="I9" s="2">
        <f t="shared" si="1"/>
        <v>2</v>
      </c>
      <c r="J9" s="2">
        <f t="shared" si="2"/>
        <v>0</v>
      </c>
      <c r="K9" s="2">
        <f t="shared" si="3"/>
        <v>0</v>
      </c>
      <c r="L9" s="1">
        <v>1</v>
      </c>
      <c r="M9" s="1">
        <v>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3</v>
      </c>
    </row>
    <row r="10" spans="1:20" x14ac:dyDescent="0.25">
      <c r="A10" t="s">
        <v>3</v>
      </c>
      <c r="B10" t="s">
        <v>13</v>
      </c>
      <c r="C10" s="1">
        <v>106</v>
      </c>
      <c r="D10" s="1">
        <v>98</v>
      </c>
      <c r="E10" s="1">
        <v>19</v>
      </c>
      <c r="F10" s="2">
        <f t="shared" si="0"/>
        <v>0</v>
      </c>
      <c r="G10" s="2">
        <f t="shared" si="0"/>
        <v>0</v>
      </c>
      <c r="H10" s="2">
        <f t="shared" si="1"/>
        <v>4</v>
      </c>
      <c r="I10" s="2">
        <f t="shared" si="1"/>
        <v>4</v>
      </c>
      <c r="J10" s="2">
        <f t="shared" si="2"/>
        <v>0</v>
      </c>
      <c r="K10" s="2">
        <f t="shared" si="3"/>
        <v>0</v>
      </c>
      <c r="L10" s="1">
        <v>1</v>
      </c>
      <c r="M10" s="1">
        <v>1</v>
      </c>
      <c r="N10" s="1">
        <v>3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>
        <v>4</v>
      </c>
    </row>
    <row r="11" spans="1:20" x14ac:dyDescent="0.25">
      <c r="A11" t="s">
        <v>3</v>
      </c>
      <c r="B11" t="s">
        <v>14</v>
      </c>
      <c r="F11" s="2">
        <f t="shared" si="0"/>
        <v>0</v>
      </c>
      <c r="G11" s="2">
        <f t="shared" si="0"/>
        <v>0</v>
      </c>
      <c r="H11" s="2">
        <f t="shared" si="1"/>
        <v>0</v>
      </c>
      <c r="I11" s="2">
        <f t="shared" si="1"/>
        <v>0</v>
      </c>
      <c r="J11" s="2">
        <f t="shared" si="2"/>
        <v>0</v>
      </c>
      <c r="K11" s="2">
        <f t="shared" si="3"/>
        <v>0</v>
      </c>
    </row>
    <row r="12" spans="1:20" x14ac:dyDescent="0.25">
      <c r="A12" t="s">
        <v>3</v>
      </c>
      <c r="B12" t="s">
        <v>15</v>
      </c>
      <c r="F12" s="2">
        <f t="shared" si="0"/>
        <v>0</v>
      </c>
      <c r="G12" s="2">
        <f t="shared" si="0"/>
        <v>0</v>
      </c>
      <c r="H12" s="2">
        <f t="shared" si="1"/>
        <v>0</v>
      </c>
      <c r="I12" s="2">
        <f t="shared" si="1"/>
        <v>0</v>
      </c>
      <c r="J12" s="2">
        <f t="shared" si="2"/>
        <v>0</v>
      </c>
      <c r="K12" s="2">
        <f t="shared" si="3"/>
        <v>0</v>
      </c>
    </row>
    <row r="13" spans="1:20" x14ac:dyDescent="0.25">
      <c r="A13" t="s">
        <v>3</v>
      </c>
      <c r="B13" t="s">
        <v>16</v>
      </c>
      <c r="F13" s="2">
        <f t="shared" si="0"/>
        <v>0</v>
      </c>
      <c r="G13" s="2">
        <f t="shared" si="0"/>
        <v>0</v>
      </c>
      <c r="H13" s="2">
        <f t="shared" si="1"/>
        <v>0</v>
      </c>
      <c r="I13" s="2">
        <f t="shared" si="1"/>
        <v>0</v>
      </c>
      <c r="J13" s="2">
        <f t="shared" si="2"/>
        <v>0</v>
      </c>
      <c r="K13" s="2">
        <f t="shared" si="3"/>
        <v>0</v>
      </c>
    </row>
    <row r="14" spans="1:20" x14ac:dyDescent="0.25">
      <c r="A14" t="s">
        <v>3</v>
      </c>
      <c r="B14" t="s">
        <v>17</v>
      </c>
      <c r="F14" s="2">
        <f t="shared" si="0"/>
        <v>0</v>
      </c>
      <c r="G14" s="2">
        <f t="shared" si="0"/>
        <v>0</v>
      </c>
      <c r="H14" s="2">
        <f t="shared" si="1"/>
        <v>0</v>
      </c>
      <c r="I14" s="2">
        <f t="shared" si="1"/>
        <v>0</v>
      </c>
      <c r="J14" s="2">
        <f t="shared" si="2"/>
        <v>0</v>
      </c>
      <c r="K14" s="2">
        <f t="shared" si="3"/>
        <v>0</v>
      </c>
    </row>
    <row r="15" spans="1:20" x14ac:dyDescent="0.25">
      <c r="A15" t="s">
        <v>4</v>
      </c>
      <c r="B15" t="s">
        <v>18</v>
      </c>
      <c r="F15" s="2">
        <f t="shared" si="0"/>
        <v>0</v>
      </c>
      <c r="G15" s="2">
        <f t="shared" si="0"/>
        <v>0</v>
      </c>
      <c r="H15" s="2">
        <f t="shared" si="1"/>
        <v>0</v>
      </c>
      <c r="I15" s="2">
        <f t="shared" si="1"/>
        <v>0</v>
      </c>
      <c r="J15" s="2">
        <f t="shared" si="2"/>
        <v>0</v>
      </c>
      <c r="K15" s="2">
        <f t="shared" si="3"/>
        <v>0</v>
      </c>
    </row>
    <row r="16" spans="1:20" x14ac:dyDescent="0.25">
      <c r="A16" t="s">
        <v>4</v>
      </c>
      <c r="B16" t="s">
        <v>19</v>
      </c>
      <c r="F16" s="2">
        <f t="shared" si="0"/>
        <v>0</v>
      </c>
      <c r="G16" s="2">
        <f t="shared" si="0"/>
        <v>0</v>
      </c>
      <c r="H16" s="2">
        <f t="shared" si="1"/>
        <v>0</v>
      </c>
      <c r="I16" s="2">
        <f t="shared" si="1"/>
        <v>0</v>
      </c>
      <c r="J16" s="2">
        <f t="shared" si="2"/>
        <v>0</v>
      </c>
      <c r="K16" s="2">
        <f t="shared" si="3"/>
        <v>0</v>
      </c>
    </row>
    <row r="17" spans="1:11" x14ac:dyDescent="0.25">
      <c r="A17" t="s">
        <v>4</v>
      </c>
      <c r="B17" t="s">
        <v>20</v>
      </c>
      <c r="F17" s="2">
        <f t="shared" si="0"/>
        <v>0</v>
      </c>
      <c r="G17" s="2">
        <f t="shared" si="0"/>
        <v>0</v>
      </c>
      <c r="H17" s="2">
        <f t="shared" si="1"/>
        <v>0</v>
      </c>
      <c r="I17" s="2">
        <f t="shared" si="1"/>
        <v>0</v>
      </c>
      <c r="J17" s="2">
        <f t="shared" si="2"/>
        <v>0</v>
      </c>
      <c r="K17" s="2">
        <f t="shared" si="3"/>
        <v>0</v>
      </c>
    </row>
    <row r="18" spans="1:11" x14ac:dyDescent="0.25">
      <c r="A18" t="s">
        <v>4</v>
      </c>
      <c r="B18" t="s">
        <v>21</v>
      </c>
      <c r="F18" s="2">
        <f t="shared" si="0"/>
        <v>0</v>
      </c>
      <c r="G18" s="2">
        <f t="shared" si="0"/>
        <v>0</v>
      </c>
      <c r="H18" s="2">
        <f t="shared" si="1"/>
        <v>0</v>
      </c>
      <c r="I18" s="2">
        <f t="shared" si="1"/>
        <v>0</v>
      </c>
      <c r="J18" s="2">
        <f t="shared" si="2"/>
        <v>0</v>
      </c>
      <c r="K18" s="2">
        <f t="shared" si="3"/>
        <v>0</v>
      </c>
    </row>
    <row r="19" spans="1:11" x14ac:dyDescent="0.25">
      <c r="A19" t="s">
        <v>4</v>
      </c>
      <c r="B19" t="s">
        <v>22</v>
      </c>
      <c r="F19" s="2">
        <f t="shared" si="0"/>
        <v>0</v>
      </c>
      <c r="G19" s="2">
        <f t="shared" si="0"/>
        <v>0</v>
      </c>
      <c r="H19" s="2">
        <f t="shared" si="1"/>
        <v>0</v>
      </c>
      <c r="I19" s="2">
        <f t="shared" si="1"/>
        <v>0</v>
      </c>
      <c r="J19" s="2">
        <f t="shared" si="2"/>
        <v>0</v>
      </c>
      <c r="K19" s="2">
        <f t="shared" si="3"/>
        <v>0</v>
      </c>
    </row>
    <row r="20" spans="1:11" x14ac:dyDescent="0.25">
      <c r="A20" t="s">
        <v>4</v>
      </c>
      <c r="B20" t="s">
        <v>23</v>
      </c>
      <c r="F20" s="2">
        <f t="shared" si="0"/>
        <v>0</v>
      </c>
      <c r="G20" s="2">
        <f t="shared" si="0"/>
        <v>0</v>
      </c>
      <c r="H20" s="2">
        <f t="shared" si="1"/>
        <v>0</v>
      </c>
      <c r="I20" s="2">
        <f t="shared" si="1"/>
        <v>0</v>
      </c>
      <c r="J20" s="2">
        <f t="shared" si="2"/>
        <v>0</v>
      </c>
      <c r="K20" s="2">
        <f t="shared" si="3"/>
        <v>0</v>
      </c>
    </row>
    <row r="21" spans="1:11" x14ac:dyDescent="0.25">
      <c r="A21" t="s">
        <v>5</v>
      </c>
      <c r="B21" t="s">
        <v>24</v>
      </c>
      <c r="F21" s="2">
        <f t="shared" si="0"/>
        <v>0</v>
      </c>
      <c r="G21" s="2">
        <f t="shared" si="0"/>
        <v>0</v>
      </c>
      <c r="H21" s="2">
        <f t="shared" si="1"/>
        <v>0</v>
      </c>
      <c r="I21" s="2">
        <f t="shared" si="1"/>
        <v>0</v>
      </c>
      <c r="J21" s="2">
        <f t="shared" si="2"/>
        <v>0</v>
      </c>
      <c r="K21" s="2">
        <f t="shared" si="3"/>
        <v>0</v>
      </c>
    </row>
    <row r="22" spans="1:11" x14ac:dyDescent="0.25">
      <c r="A22" t="s">
        <v>5</v>
      </c>
      <c r="B22" t="s">
        <v>25</v>
      </c>
      <c r="F22" s="2">
        <f t="shared" si="0"/>
        <v>0</v>
      </c>
      <c r="G22" s="2">
        <f t="shared" si="0"/>
        <v>0</v>
      </c>
      <c r="H22" s="2">
        <f t="shared" si="1"/>
        <v>0</v>
      </c>
      <c r="I22" s="2">
        <f t="shared" si="1"/>
        <v>0</v>
      </c>
      <c r="J22" s="2">
        <f t="shared" si="2"/>
        <v>0</v>
      </c>
      <c r="K22" s="2">
        <f t="shared" si="3"/>
        <v>0</v>
      </c>
    </row>
    <row r="23" spans="1:11" x14ac:dyDescent="0.25">
      <c r="A23" t="s">
        <v>5</v>
      </c>
      <c r="B23" t="s">
        <v>26</v>
      </c>
      <c r="F23" s="2">
        <f t="shared" si="0"/>
        <v>0</v>
      </c>
      <c r="G23" s="2">
        <f t="shared" si="0"/>
        <v>0</v>
      </c>
      <c r="H23" s="2">
        <f t="shared" si="1"/>
        <v>0</v>
      </c>
      <c r="I23" s="2">
        <f t="shared" si="1"/>
        <v>0</v>
      </c>
      <c r="J23" s="2">
        <f t="shared" si="2"/>
        <v>0</v>
      </c>
      <c r="K23" s="2">
        <f t="shared" si="3"/>
        <v>0</v>
      </c>
    </row>
    <row r="24" spans="1:11" x14ac:dyDescent="0.25">
      <c r="A24" t="s">
        <v>5</v>
      </c>
      <c r="B24" t="s">
        <v>27</v>
      </c>
      <c r="F24" s="2">
        <f t="shared" si="0"/>
        <v>0</v>
      </c>
      <c r="G24" s="2">
        <f t="shared" si="0"/>
        <v>0</v>
      </c>
      <c r="H24" s="2">
        <f t="shared" si="1"/>
        <v>0</v>
      </c>
      <c r="I24" s="2">
        <f t="shared" si="1"/>
        <v>0</v>
      </c>
      <c r="J24" s="2">
        <f t="shared" si="2"/>
        <v>0</v>
      </c>
      <c r="K24" s="2">
        <f t="shared" si="3"/>
        <v>0</v>
      </c>
    </row>
    <row r="25" spans="1:11" x14ac:dyDescent="0.25">
      <c r="A25" t="s">
        <v>5</v>
      </c>
      <c r="B25" t="s">
        <v>28</v>
      </c>
      <c r="F25" s="2">
        <f t="shared" si="0"/>
        <v>0</v>
      </c>
      <c r="G25" s="2">
        <f t="shared" si="0"/>
        <v>0</v>
      </c>
      <c r="H25" s="2">
        <f t="shared" si="1"/>
        <v>0</v>
      </c>
      <c r="I25" s="2">
        <f t="shared" si="1"/>
        <v>0</v>
      </c>
      <c r="J25" s="2">
        <f t="shared" si="2"/>
        <v>0</v>
      </c>
      <c r="K25" s="2">
        <f t="shared" si="3"/>
        <v>0</v>
      </c>
    </row>
    <row r="26" spans="1:11" x14ac:dyDescent="0.25">
      <c r="A26" t="s">
        <v>5</v>
      </c>
      <c r="B26" t="s">
        <v>29</v>
      </c>
      <c r="F26" s="2">
        <f t="shared" si="0"/>
        <v>0</v>
      </c>
      <c r="G26" s="2">
        <f t="shared" si="0"/>
        <v>0</v>
      </c>
      <c r="H26" s="2">
        <f t="shared" si="1"/>
        <v>0</v>
      </c>
      <c r="I26" s="2">
        <f t="shared" si="1"/>
        <v>0</v>
      </c>
      <c r="J26" s="2">
        <f t="shared" si="2"/>
        <v>0</v>
      </c>
      <c r="K26" s="2">
        <f t="shared" si="3"/>
        <v>0</v>
      </c>
    </row>
    <row r="28" spans="1:11" x14ac:dyDescent="0.25">
      <c r="F28" s="2" t="s">
        <v>40</v>
      </c>
      <c r="H28" s="2" t="s">
        <v>39</v>
      </c>
    </row>
  </sheetData>
  <mergeCells count="6">
    <mergeCell ref="R1:S1"/>
    <mergeCell ref="F1:G1"/>
    <mergeCell ref="H1:I1"/>
    <mergeCell ref="L1:M1"/>
    <mergeCell ref="N1:O1"/>
    <mergeCell ref="P1:Q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config</vt:lpstr>
      <vt:lpstr>With new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Gerrald van Weelden</dc:creator>
  <cp:lastModifiedBy>Gerrald van Weelden</cp:lastModifiedBy>
  <dcterms:created xsi:type="dcterms:W3CDTF">2025-12-10T16:02:47Z</dcterms:created>
  <dcterms:modified xsi:type="dcterms:W3CDTF">2025-12-12T07:54:40Z</dcterms:modified>
</cp:coreProperties>
</file>